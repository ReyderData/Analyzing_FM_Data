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GNACI_STUFF\FOOTBALL\Data_Analyst\MONEYBALL\MONEYBALL_DATA\"/>
    </mc:Choice>
  </mc:AlternateContent>
  <xr:revisionPtr revIDLastSave="0" documentId="13_ncr:1_{B09301D1-63DF-4D7E-BE4B-E142EFD24B2F}" xr6:coauthVersionLast="47" xr6:coauthVersionMax="47" xr10:uidLastSave="{00000000-0000-0000-0000-000000000000}"/>
  <workbookProtection workbookAlgorithmName="SHA-512" workbookHashValue="Gsrr7ZW7OQ2bso3IGCq4MJ5pmTLesGStVlIPTXZhi0cXCDG1adkTxTX+cBuKbNM5feBrbRf1V7ijZjiVTaSpJA==" workbookSaltValue="2DLAnYeqiBfCIr4qfgmukQ==" workbookSpinCount="100000" lockStructure="1"/>
  <bookViews>
    <workbookView xWindow="-120" yWindow="-120" windowWidth="29040" windowHeight="15840" firstSheet="2" activeTab="2" xr2:uid="{00000000-000D-0000-FFFF-FFFF00000000}"/>
  </bookViews>
  <sheets>
    <sheet name="ZGZ_DFC_IZQ_23_24" sheetId="2" state="hidden" r:id="rId1"/>
    <sheet name="Extracted Data" sheetId="4" state="hidden" r:id="rId2"/>
    <sheet name="Dashboard" sheetId="6" r:id="rId3"/>
    <sheet name="ScatterPlot" sheetId="7" r:id="rId4"/>
    <sheet name="Minutos y sanciones" sheetId="9" r:id="rId5"/>
    <sheet name="Pivot Tables" sheetId="5" state="hidden" r:id="rId6"/>
  </sheets>
  <definedNames>
    <definedName name="_xlcn.WorksheetConnection_ZGZ_DFC_IZQ_23_24.xlsxData1" hidden="1">Data[]</definedName>
    <definedName name="SegmentaciónDeDatos_Altura">#N/A</definedName>
    <definedName name="SegmentaciónDeDatos_Media">#N/A</definedName>
    <definedName name="SegmentaciónDeDatos_Min">#N/A</definedName>
    <definedName name="SegmentaciónDeDatos_Nombre">#N/A</definedName>
    <definedName name="SegmentaciónDeDatos_Sueldo">#N/A</definedName>
  </definedNames>
  <calcPr calcId="191029"/>
  <pivotCaches>
    <pivotCache cacheId="7" r:id="rId7"/>
    <pivotCache cacheId="116" r:id="rId8"/>
    <pivotCache cacheId="119" r:id="rId9"/>
    <pivotCache cacheId="122" r:id="rId10"/>
    <pivotCache cacheId="125" r:id="rId11"/>
    <pivotCache cacheId="128" r:id="rId12"/>
    <pivotCache cacheId="131" r:id="rId13"/>
    <pivotCache cacheId="134" r:id="rId14"/>
  </pivotCaches>
  <extLst>
    <ext xmlns:x14="http://schemas.microsoft.com/office/spreadsheetml/2009/9/main" uri="{876F7934-8845-4945-9796-88D515C7AA90}">
      <x14:pivotCaches>
        <pivotCache cacheId="8" r:id="rId15"/>
      </x14:pivotCaches>
    </ext>
    <ext xmlns:x14="http://schemas.microsoft.com/office/spreadsheetml/2009/9/main" uri="{BBE1A952-AA13-448e-AADC-164F8A28A991}">
      <x14:slicerCaches>
        <x14:slicerCache r:id="rId16"/>
        <x14:slicerCache r:id="rId17"/>
        <x14:slicerCache r:id="rId18"/>
        <x14:slicerCache r:id="rId19"/>
        <x14:slicerCache r:id="rId2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FCE2AD5D-F65C-4FA6-A056-5C36A1767C68}">
      <x15:dataModel>
        <x15:modelTables>
          <x15:modelTable id="Data" name="Data" connection="WorksheetConnection_ZGZ_DFC_IZQ_23_24.xlsx!Data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04" i="5" l="1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03" i="5"/>
  <c r="B4" i="6"/>
  <c r="AQ3" i="4"/>
  <c r="AQ4" i="4"/>
  <c r="AQ5" i="4"/>
  <c r="AQ6" i="4"/>
  <c r="AQ7" i="4"/>
  <c r="AQ8" i="4"/>
  <c r="AQ9" i="4"/>
  <c r="AQ10" i="4"/>
  <c r="AQ11" i="4"/>
  <c r="AQ12" i="4"/>
  <c r="AQ13" i="4"/>
  <c r="AQ14" i="4"/>
  <c r="AQ15" i="4"/>
  <c r="AQ16" i="4"/>
  <c r="AQ17" i="4"/>
  <c r="AQ18" i="4"/>
  <c r="AQ19" i="4"/>
  <c r="AQ20" i="4"/>
  <c r="AQ21" i="4"/>
  <c r="AQ22" i="4"/>
  <c r="AQ23" i="4"/>
  <c r="AQ24" i="4"/>
  <c r="AQ25" i="4"/>
  <c r="AQ26" i="4"/>
  <c r="AQ27" i="4"/>
  <c r="AQ28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E540EDD-CD64-4929-84ED-F835B03BB0E3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8E64C79A-D0E3-4AA7-8A56-7F9695918FDE}" name="WorksheetConnection_ZGZ_DFC_IZQ_23_24.xlsx!Data" type="102" refreshedVersion="8" minRefreshableVersion="5">
    <extLst>
      <ext xmlns:x15="http://schemas.microsoft.com/office/spreadsheetml/2010/11/main" uri="{DE250136-89BD-433C-8126-D09CA5730AF9}">
        <x15:connection id="Data" autoDelete="1">
          <x15:rangePr sourceName="_xlcn.WorksheetConnection_ZGZ_DFC_IZQ_23_24.xlsxData1"/>
        </x15:connection>
      </ext>
    </extLst>
  </connection>
</connections>
</file>

<file path=xl/sharedStrings.xml><?xml version="1.0" encoding="utf-8"?>
<sst xmlns="http://schemas.openxmlformats.org/spreadsheetml/2006/main" count="1090" uniqueCount="334">
  <si>
    <t>IU</t>
  </si>
  <si>
    <t>Nombre</t>
  </si>
  <si>
    <t>Procedencia</t>
  </si>
  <si>
    <t>División</t>
  </si>
  <si>
    <t>Club</t>
  </si>
  <si>
    <t>Nac</t>
  </si>
  <si>
    <t>2ª Nac</t>
  </si>
  <si>
    <t>Posición</t>
  </si>
  <si>
    <t>Edad</t>
  </si>
  <si>
    <t>Altura</t>
  </si>
  <si>
    <t>Peso</t>
  </si>
  <si>
    <t>Final</t>
  </si>
  <si>
    <t>Sueldo</t>
  </si>
  <si>
    <t>Min</t>
  </si>
  <si>
    <t>Min/Par</t>
  </si>
  <si>
    <t>Part</t>
  </si>
  <si>
    <t>Distancia</t>
  </si>
  <si>
    <t>Dist/90</t>
  </si>
  <si>
    <t>Esprints/90</t>
  </si>
  <si>
    <t>Media</t>
  </si>
  <si>
    <t>JPar</t>
  </si>
  <si>
    <t>Pas I</t>
  </si>
  <si>
    <t>Ps I/90</t>
  </si>
  <si>
    <t>Pas C</t>
  </si>
  <si>
    <t>Ps C/90</t>
  </si>
  <si>
    <t>Pases prog/90</t>
  </si>
  <si>
    <t>Pases prog</t>
  </si>
  <si>
    <t>Pas Cl</t>
  </si>
  <si>
    <t>Pas Clv/90</t>
  </si>
  <si>
    <t>P Clv- J Ab</t>
  </si>
  <si>
    <t>P Clv-J Ab/90</t>
  </si>
  <si>
    <t>% Pase</t>
  </si>
  <si>
    <t>Asis</t>
  </si>
  <si>
    <t>Asis/90</t>
  </si>
  <si>
    <t>xA</t>
  </si>
  <si>
    <t>AsiE/90</t>
  </si>
  <si>
    <t>Disparos</t>
  </si>
  <si>
    <t>Tir/90</t>
  </si>
  <si>
    <t>TaP</t>
  </si>
  <si>
    <t>TirP/90</t>
  </si>
  <si>
    <t>% disparos</t>
  </si>
  <si>
    <t>OCG</t>
  </si>
  <si>
    <t>Oc C/90</t>
  </si>
  <si>
    <t>% conv</t>
  </si>
  <si>
    <t>xG</t>
  </si>
  <si>
    <t>xG/disparo</t>
  </si>
  <si>
    <t>Gol</t>
  </si>
  <si>
    <t>Gol/90</t>
  </si>
  <si>
    <t>Min/Gl</t>
  </si>
  <si>
    <t>xG/90</t>
  </si>
  <si>
    <t>xG- SP</t>
  </si>
  <si>
    <t>XG -SP/90</t>
  </si>
  <si>
    <t>xG- HR</t>
  </si>
  <si>
    <t>GlEq</t>
  </si>
  <si>
    <t>GlEq/90</t>
  </si>
  <si>
    <t>Cen.In</t>
  </si>
  <si>
    <t>Cen I/90</t>
  </si>
  <si>
    <t>Cen.Com</t>
  </si>
  <si>
    <t>Cen C/90</t>
  </si>
  <si>
    <t>Cen.C/I</t>
  </si>
  <si>
    <t>Reg</t>
  </si>
  <si>
    <t>Reg/90</t>
  </si>
  <si>
    <t>FR</t>
  </si>
  <si>
    <t>Fdj</t>
  </si>
  <si>
    <t>Cab Int</t>
  </si>
  <si>
    <t>Bal aér/90</t>
  </si>
  <si>
    <t>Cab</t>
  </si>
  <si>
    <t>Cab G/90</t>
  </si>
  <si>
    <t>Cab Clv/90</t>
  </si>
  <si>
    <t>Rcg %</t>
  </si>
  <si>
    <t>Ent I</t>
  </si>
  <si>
    <t>Entr/90</t>
  </si>
  <si>
    <t>Ent G</t>
  </si>
  <si>
    <t>Ent Cl</t>
  </si>
  <si>
    <t>Ent Clv/90</t>
  </si>
  <si>
    <t>Ent P</t>
  </si>
  <si>
    <t>Rob</t>
  </si>
  <si>
    <t>Rob/90</t>
  </si>
  <si>
    <t>Pres Int</t>
  </si>
  <si>
    <t>Pres I/90</t>
  </si>
  <si>
    <t>Pres C</t>
  </si>
  <si>
    <t>Pres C/90</t>
  </si>
  <si>
    <t>Pos Perd/90</t>
  </si>
  <si>
    <t>Pos Gan/90</t>
  </si>
  <si>
    <t>Desp</t>
  </si>
  <si>
    <t>Desp/90</t>
  </si>
  <si>
    <t>FC</t>
  </si>
  <si>
    <t>Ama</t>
  </si>
  <si>
    <t>Roj.</t>
  </si>
  <si>
    <t>Gl Err</t>
  </si>
  <si>
    <t>Rec</t>
  </si>
  <si>
    <t>Rech/90</t>
  </si>
  <si>
    <t>EnEq/90</t>
  </si>
  <si>
    <t>Inf</t>
  </si>
  <si>
    <t>Matthias Ginter</t>
  </si>
  <si>
    <t>Alemania (Bundesliga)</t>
  </si>
  <si>
    <t>Bundesliga</t>
  </si>
  <si>
    <t>SC Friburgo</t>
  </si>
  <si>
    <t>GER</t>
  </si>
  <si>
    <t>DF (DC), MC</t>
  </si>
  <si>
    <t>191 cm</t>
  </si>
  <si>
    <t>86 kg</t>
  </si>
  <si>
    <t>-</t>
  </si>
  <si>
    <t>2,340,000 € p/a</t>
  </si>
  <si>
    <t>320.5 km</t>
  </si>
  <si>
    <t>10.5 km</t>
  </si>
  <si>
    <t>Marin Pongračić</t>
  </si>
  <si>
    <t>VfL Wolfsburg</t>
  </si>
  <si>
    <t>CRO</t>
  </si>
  <si>
    <t>190 cm</t>
  </si>
  <si>
    <t>95 kg</t>
  </si>
  <si>
    <t>2,194,000 € p/a</t>
  </si>
  <si>
    <t>2 (1)</t>
  </si>
  <si>
    <t>18.1 km</t>
  </si>
  <si>
    <t>10.2 km</t>
  </si>
  <si>
    <t>Fic</t>
  </si>
  <si>
    <t>Stuart Findlay</t>
  </si>
  <si>
    <t>Inglaterra (Sky Bet League Two)</t>
  </si>
  <si>
    <t>Sky Bet League Two</t>
  </si>
  <si>
    <t>Oxford</t>
  </si>
  <si>
    <t>SCO</t>
  </si>
  <si>
    <t>DF (IC)</t>
  </si>
  <si>
    <t>194 cm</t>
  </si>
  <si>
    <t>271,000 € p/a</t>
  </si>
  <si>
    <t>36 (1)</t>
  </si>
  <si>
    <t>371.6 km</t>
  </si>
  <si>
    <t>Opc</t>
  </si>
  <si>
    <t>José Manuel Copete</t>
  </si>
  <si>
    <t>España (LaLiga Santander)</t>
  </si>
  <si>
    <t>LaLiga Santander</t>
  </si>
  <si>
    <t>RCD Mallorca</t>
  </si>
  <si>
    <t>ESP</t>
  </si>
  <si>
    <t>75 kg</t>
  </si>
  <si>
    <t>1,585,000 € p/a</t>
  </si>
  <si>
    <t>24 (4)</t>
  </si>
  <si>
    <t>263.6 km</t>
  </si>
  <si>
    <t>11.5 km</t>
  </si>
  <si>
    <t>Nicolás Meriano</t>
  </si>
  <si>
    <t>Argentina (Liga Profesional)</t>
  </si>
  <si>
    <t>Liga Profesional De Futbol</t>
  </si>
  <si>
    <t>Belgrano</t>
  </si>
  <si>
    <t>ARG</t>
  </si>
  <si>
    <t>83 kg</t>
  </si>
  <si>
    <t>454,000 € p/a</t>
  </si>
  <si>
    <t>38.6 km</t>
  </si>
  <si>
    <t>Attila Szalai</t>
  </si>
  <si>
    <t>Turquía (Spor Toto Super League)</t>
  </si>
  <si>
    <t>Spor Toto Super League</t>
  </si>
  <si>
    <t>Fenerbahçe</t>
  </si>
  <si>
    <t>HUN</t>
  </si>
  <si>
    <t>192 cm</t>
  </si>
  <si>
    <t>82 kg</t>
  </si>
  <si>
    <t>875,000 € p/a</t>
  </si>
  <si>
    <t>326.6 km</t>
  </si>
  <si>
    <t>11.0 km</t>
  </si>
  <si>
    <t>Mariano Fazio</t>
  </si>
  <si>
    <t>España (Segunda RFEF 4)</t>
  </si>
  <si>
    <t>Segunda RFEF Grupo 4</t>
  </si>
  <si>
    <t>Sanluqueño</t>
  </si>
  <si>
    <t>DF (C)</t>
  </si>
  <si>
    <t>193 cm</t>
  </si>
  <si>
    <t>89,500 € p/a</t>
  </si>
  <si>
    <t>48.5 km</t>
  </si>
  <si>
    <t>10.7 km</t>
  </si>
  <si>
    <t>Nicolas Taravel</t>
  </si>
  <si>
    <t>Francia (Nacional 2 - C)</t>
  </si>
  <si>
    <t>Nacional 2 - C francesa</t>
  </si>
  <si>
    <t>Sète</t>
  </si>
  <si>
    <t>FRA</t>
  </si>
  <si>
    <t>80 kg</t>
  </si>
  <si>
    <t>68,000 € p/a</t>
  </si>
  <si>
    <t>154.2 km</t>
  </si>
  <si>
    <t>10.8 km</t>
  </si>
  <si>
    <t>Luis Binks</t>
  </si>
  <si>
    <t>Inglaterra (Sky Bet Championship)</t>
  </si>
  <si>
    <t>Sky Bet Championship</t>
  </si>
  <si>
    <t>Preston</t>
  </si>
  <si>
    <t>ENG</t>
  </si>
  <si>
    <t>374,000 € p/a</t>
  </si>
  <si>
    <t>18.6 km</t>
  </si>
  <si>
    <t>9.2 km</t>
  </si>
  <si>
    <t>nUE</t>
  </si>
  <si>
    <t>Dan Happe</t>
  </si>
  <si>
    <t>Leyton Orient</t>
  </si>
  <si>
    <t>196 cm</t>
  </si>
  <si>
    <t>104 kg</t>
  </si>
  <si>
    <t>86,000 € p/a</t>
  </si>
  <si>
    <t>389.4 km</t>
  </si>
  <si>
    <t>Dominic Revan</t>
  </si>
  <si>
    <t>Inglaterra (Vanarama National)</t>
  </si>
  <si>
    <t>Vanarama National League</t>
  </si>
  <si>
    <t>Barnet</t>
  </si>
  <si>
    <t>81 kg</t>
  </si>
  <si>
    <t>57,500 € p/a</t>
  </si>
  <si>
    <t>307.1 km</t>
  </si>
  <si>
    <t>Maxime Estève</t>
  </si>
  <si>
    <t>Francia (Ligue 1 Uber Eats)</t>
  </si>
  <si>
    <t>Ligue 1 Uber Eats</t>
  </si>
  <si>
    <t>Montpellier</t>
  </si>
  <si>
    <t>87 kg</t>
  </si>
  <si>
    <t>971,000 € p/a</t>
  </si>
  <si>
    <t>200.8 km</t>
  </si>
  <si>
    <t>10.3 km</t>
  </si>
  <si>
    <t>Luka Lochoshvili</t>
  </si>
  <si>
    <t>RC Lens</t>
  </si>
  <si>
    <t>GEO</t>
  </si>
  <si>
    <t>1,642,000 € p/a</t>
  </si>
  <si>
    <t>26 (8)</t>
  </si>
  <si>
    <t>300.6 km</t>
  </si>
  <si>
    <t>11.4 km</t>
  </si>
  <si>
    <t>Strahinja Pavlović</t>
  </si>
  <si>
    <t>Austria (Bundesliga)</t>
  </si>
  <si>
    <t>Tipico Bundesliga</t>
  </si>
  <si>
    <t>RB Salzburgo</t>
  </si>
  <si>
    <t>SRB</t>
  </si>
  <si>
    <t>84 kg</t>
  </si>
  <si>
    <t>1,300,000 € p/a</t>
  </si>
  <si>
    <t>189.2 km</t>
  </si>
  <si>
    <t>Álex Pérez</t>
  </si>
  <si>
    <t>España (Primera RFEF A)</t>
  </si>
  <si>
    <t>Primera RFEF Grupo A</t>
  </si>
  <si>
    <t>CD Mirandés</t>
  </si>
  <si>
    <t>85 kg</t>
  </si>
  <si>
    <t>157,000 € p/a</t>
  </si>
  <si>
    <t>262.6 km</t>
  </si>
  <si>
    <t>11.2 km</t>
  </si>
  <si>
    <t>Les</t>
  </si>
  <si>
    <t>Jorge Herrando</t>
  </si>
  <si>
    <t>España (Primera RFEF B)</t>
  </si>
  <si>
    <t>Primera RFEF grupo B</t>
  </si>
  <si>
    <t>Osasuna B</t>
  </si>
  <si>
    <t>BAS</t>
  </si>
  <si>
    <t>88 kg</t>
  </si>
  <si>
    <t>39,500 € p/a</t>
  </si>
  <si>
    <t>149.2 km</t>
  </si>
  <si>
    <t>10.6 km</t>
  </si>
  <si>
    <t>Pet</t>
  </si>
  <si>
    <t>Patric Pfeiffer</t>
  </si>
  <si>
    <t>Alemania (2. Bundesliga)</t>
  </si>
  <si>
    <t>2. Bundesliga</t>
  </si>
  <si>
    <t>SV Darmstadt 98</t>
  </si>
  <si>
    <t>GHA</t>
  </si>
  <si>
    <t>91 kg</t>
  </si>
  <si>
    <t>1,099,000 € p/a</t>
  </si>
  <si>
    <t>240.6 km</t>
  </si>
  <si>
    <t>Samuel Biek</t>
  </si>
  <si>
    <t>Alemania (Regionalliga Nordost)</t>
  </si>
  <si>
    <t>Regionalliga Nordost</t>
  </si>
  <si>
    <t>Erfurt</t>
  </si>
  <si>
    <t>244,000 € p/a</t>
  </si>
  <si>
    <t>370.1 km</t>
  </si>
  <si>
    <t>10.4 km</t>
  </si>
  <si>
    <t>Ousmane Diomandé</t>
  </si>
  <si>
    <t>Portugal (Liga NOS)</t>
  </si>
  <si>
    <t>Liga NOS</t>
  </si>
  <si>
    <t>Sporting de Lisboa</t>
  </si>
  <si>
    <t>CIV</t>
  </si>
  <si>
    <t>754,000 € p/a</t>
  </si>
  <si>
    <t>235.1 km</t>
  </si>
  <si>
    <t>Des</t>
  </si>
  <si>
    <t>Dimitrie Deumi Nappi</t>
  </si>
  <si>
    <t>Alemania (Regionalliga West)</t>
  </si>
  <si>
    <t>Regionalliga West</t>
  </si>
  <si>
    <t>B. Mönchengladbach II</t>
  </si>
  <si>
    <t>CMR</t>
  </si>
  <si>
    <t>499,000 € p/a</t>
  </si>
  <si>
    <t>217.5 km</t>
  </si>
  <si>
    <t>9.1 km</t>
  </si>
  <si>
    <t>Seg</t>
  </si>
  <si>
    <t>Samuel Gómez</t>
  </si>
  <si>
    <t>España (1ª Aut.Pref. La Mancha G1)</t>
  </si>
  <si>
    <t>1ª Autonómica Pref. Castilla-La Mancha G1</t>
  </si>
  <si>
    <t>At Albacete</t>
  </si>
  <si>
    <t>15,000 € p/a</t>
  </si>
  <si>
    <t>84.5 km</t>
  </si>
  <si>
    <t>David Domgjoni</t>
  </si>
  <si>
    <t>Turquía (Spor Toto 2. League G1)</t>
  </si>
  <si>
    <t>Spor Toto 2. League Group 1</t>
  </si>
  <si>
    <t>Manisa Bld.</t>
  </si>
  <si>
    <t>KOS</t>
  </si>
  <si>
    <t>ALB</t>
  </si>
  <si>
    <t>40,500 € p/a</t>
  </si>
  <si>
    <t>178.2 km</t>
  </si>
  <si>
    <t>Ertuğrul Kurtuluş</t>
  </si>
  <si>
    <t>Bursaspor</t>
  </si>
  <si>
    <t>TUR</t>
  </si>
  <si>
    <t>92 kg</t>
  </si>
  <si>
    <t>19,000 € p/a</t>
  </si>
  <si>
    <t>159.5 km</t>
  </si>
  <si>
    <t>Nikos Michelis</t>
  </si>
  <si>
    <t>GRE</t>
  </si>
  <si>
    <t>DF (C), MC</t>
  </si>
  <si>
    <t>71 kg</t>
  </si>
  <si>
    <t>181,000 € p/a</t>
  </si>
  <si>
    <t>19 (9)</t>
  </si>
  <si>
    <t>233.1 km</t>
  </si>
  <si>
    <t>12.1 km</t>
  </si>
  <si>
    <t>David Carmo</t>
  </si>
  <si>
    <t>FC Oporto</t>
  </si>
  <si>
    <t>POR</t>
  </si>
  <si>
    <t>ANG</t>
  </si>
  <si>
    <t>1,017,000 € p/a</t>
  </si>
  <si>
    <t>27 (2)</t>
  </si>
  <si>
    <t>289.3 km</t>
  </si>
  <si>
    <t>Damián Canedo</t>
  </si>
  <si>
    <t>España (Segunda RFEF 1)</t>
  </si>
  <si>
    <t>Segunda RFEF Grupo 1</t>
  </si>
  <si>
    <t>SD Compostela</t>
  </si>
  <si>
    <t>20,000 € p/a</t>
  </si>
  <si>
    <t>279.0 km</t>
  </si>
  <si>
    <t>12.5 km</t>
  </si>
  <si>
    <t>https://www.sigames.com/</t>
  </si>
  <si>
    <t>Etiquetas de fila</t>
  </si>
  <si>
    <t>% Pases</t>
  </si>
  <si>
    <t xml:space="preserve"> Pases Comp/90</t>
  </si>
  <si>
    <t>Suma de Bal aér/90</t>
  </si>
  <si>
    <t>Suma de Cab G/90</t>
  </si>
  <si>
    <t>Suma de Cab Clv/90</t>
  </si>
  <si>
    <t>Suma de Rcg %</t>
  </si>
  <si>
    <t>Suma de Ent Clv/90</t>
  </si>
  <si>
    <t>Suma de Entr/90</t>
  </si>
  <si>
    <t>Suma de Rob/90</t>
  </si>
  <si>
    <t>Suma de Pres C/90</t>
  </si>
  <si>
    <t>Suma de Desp/90</t>
  </si>
  <si>
    <t>Suma de Pos Gan/90</t>
  </si>
  <si>
    <t>Suma de Pos Perd/90</t>
  </si>
  <si>
    <t>Pos Gan/Per /90</t>
  </si>
  <si>
    <t>Suma de Pos Gan/Per /90</t>
  </si>
  <si>
    <t>Análisis jugadores ojeos FM</t>
  </si>
  <si>
    <t>Pos Gan/Per/90</t>
  </si>
  <si>
    <t>Jugador</t>
  </si>
  <si>
    <t>Faltas cometidas</t>
  </si>
  <si>
    <t>Ratio Amarilla/Falta</t>
  </si>
  <si>
    <t>T. Roja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</si>
</sst>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Verdana"/>
      <family val="2"/>
    </font>
    <font>
      <b/>
      <sz val="9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sz val="9"/>
      <color theme="0"/>
      <name val="Verdana"/>
      <family val="2"/>
    </font>
    <font>
      <sz val="8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48"/>
      <color theme="5" tint="-0.249977111117893"/>
      <name val="Franklin Gothic Demi"/>
      <family val="2"/>
    </font>
    <font>
      <sz val="12"/>
      <color rgb="FF323130"/>
      <name val="Segoe UI"/>
      <family val="2"/>
    </font>
    <font>
      <sz val="10"/>
      <color rgb="FF00000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EBABC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thin">
        <color theme="8" tint="0.79998168889431442"/>
      </top>
      <bottom style="thin">
        <color theme="8" tint="0.7999816888943144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69">
    <xf numFmtId="0" fontId="0" fillId="0" borderId="0" xfId="0"/>
    <xf numFmtId="0" fontId="18" fillId="0" borderId="0" xfId="0" applyFont="1"/>
    <xf numFmtId="0" fontId="18" fillId="0" borderId="10" xfId="0" applyFont="1" applyBorder="1" applyAlignment="1">
      <alignment wrapText="1"/>
    </xf>
    <xf numFmtId="14" fontId="18" fillId="0" borderId="10" xfId="0" applyNumberFormat="1" applyFont="1" applyBorder="1" applyAlignment="1">
      <alignment wrapText="1"/>
    </xf>
    <xf numFmtId="3" fontId="18" fillId="0" borderId="10" xfId="0" applyNumberFormat="1" applyFont="1" applyBorder="1" applyAlignment="1">
      <alignment wrapText="1"/>
    </xf>
    <xf numFmtId="9" fontId="18" fillId="0" borderId="10" xfId="0" applyNumberFormat="1" applyFont="1" applyBorder="1" applyAlignment="1">
      <alignment wrapText="1"/>
    </xf>
    <xf numFmtId="4" fontId="18" fillId="0" borderId="10" xfId="0" applyNumberFormat="1" applyFont="1" applyBorder="1" applyAlignment="1">
      <alignment wrapText="1"/>
    </xf>
    <xf numFmtId="0" fontId="18" fillId="0" borderId="11" xfId="0" applyFont="1" applyBorder="1" applyAlignment="1">
      <alignment wrapText="1"/>
    </xf>
    <xf numFmtId="0" fontId="18" fillId="0" borderId="12" xfId="0" applyFont="1" applyBorder="1" applyAlignment="1">
      <alignment wrapText="1"/>
    </xf>
    <xf numFmtId="0" fontId="19" fillId="0" borderId="13" xfId="0" applyFont="1" applyBorder="1" applyAlignment="1">
      <alignment horizontal="center" vertical="center" wrapText="1"/>
    </xf>
    <xf numFmtId="0" fontId="19" fillId="0" borderId="14" xfId="0" applyFont="1" applyBorder="1" applyAlignment="1">
      <alignment horizontal="center" vertical="center" wrapText="1"/>
    </xf>
    <xf numFmtId="0" fontId="18" fillId="0" borderId="16" xfId="0" applyFont="1" applyBorder="1" applyAlignment="1">
      <alignment wrapText="1"/>
    </xf>
    <xf numFmtId="0" fontId="18" fillId="0" borderId="17" xfId="0" applyFont="1" applyBorder="1" applyAlignment="1">
      <alignment wrapText="1"/>
    </xf>
    <xf numFmtId="14" fontId="18" fillId="0" borderId="17" xfId="0" applyNumberFormat="1" applyFont="1" applyBorder="1" applyAlignment="1">
      <alignment wrapText="1"/>
    </xf>
    <xf numFmtId="3" fontId="18" fillId="0" borderId="17" xfId="0" applyNumberFormat="1" applyFont="1" applyBorder="1" applyAlignment="1">
      <alignment wrapText="1"/>
    </xf>
    <xf numFmtId="9" fontId="18" fillId="0" borderId="17" xfId="0" applyNumberFormat="1" applyFont="1" applyBorder="1" applyAlignment="1">
      <alignment wrapText="1"/>
    </xf>
    <xf numFmtId="4" fontId="18" fillId="0" borderId="17" xfId="0" applyNumberFormat="1" applyFont="1" applyBorder="1" applyAlignment="1">
      <alignment wrapText="1"/>
    </xf>
    <xf numFmtId="0" fontId="18" fillId="0" borderId="18" xfId="0" applyFont="1" applyBorder="1" applyAlignment="1">
      <alignment wrapText="1"/>
    </xf>
    <xf numFmtId="0" fontId="21" fillId="33" borderId="13" xfId="0" applyFont="1" applyFill="1" applyBorder="1" applyAlignment="1">
      <alignment horizontal="center" vertical="center" wrapText="1"/>
    </xf>
    <xf numFmtId="0" fontId="21" fillId="33" borderId="14" xfId="0" applyFont="1" applyFill="1" applyBorder="1" applyAlignment="1">
      <alignment horizontal="center" vertical="center" wrapText="1"/>
    </xf>
    <xf numFmtId="0" fontId="21" fillId="33" borderId="15" xfId="0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/>
    <xf numFmtId="0" fontId="0" fillId="0" borderId="19" xfId="0" applyBorder="1" applyAlignment="1">
      <alignment horizontal="left"/>
    </xf>
    <xf numFmtId="0" fontId="0" fillId="0" borderId="19" xfId="0" applyBorder="1"/>
    <xf numFmtId="9" fontId="0" fillId="0" borderId="19" xfId="0" applyNumberFormat="1" applyBorder="1"/>
    <xf numFmtId="2" fontId="18" fillId="0" borderId="10" xfId="43" applyNumberFormat="1" applyFont="1" applyBorder="1" applyAlignment="1">
      <alignment wrapText="1"/>
    </xf>
    <xf numFmtId="2" fontId="0" fillId="0" borderId="0" xfId="0" applyNumberFormat="1"/>
    <xf numFmtId="0" fontId="0" fillId="34" borderId="0" xfId="0" applyFill="1"/>
    <xf numFmtId="0" fontId="23" fillId="34" borderId="0" xfId="0" applyFont="1" applyFill="1" applyAlignment="1">
      <alignment horizontal="center" vertical="center"/>
    </xf>
    <xf numFmtId="0" fontId="25" fillId="0" borderId="0" xfId="0" applyFont="1"/>
    <xf numFmtId="0" fontId="26" fillId="0" borderId="0" xfId="0" applyFont="1"/>
    <xf numFmtId="0" fontId="0" fillId="35" borderId="0" xfId="0" applyFill="1"/>
    <xf numFmtId="0" fontId="0" fillId="35" borderId="24" xfId="0" applyFill="1" applyBorder="1" applyAlignment="1">
      <alignment horizontal="center" vertical="center"/>
    </xf>
    <xf numFmtId="0" fontId="0" fillId="35" borderId="27" xfId="0" applyFill="1" applyBorder="1" applyAlignment="1">
      <alignment horizontal="center" vertical="center"/>
    </xf>
    <xf numFmtId="0" fontId="0" fillId="36" borderId="28" xfId="0" applyFill="1" applyBorder="1"/>
    <xf numFmtId="0" fontId="0" fillId="36" borderId="29" xfId="0" applyFill="1" applyBorder="1"/>
    <xf numFmtId="0" fontId="0" fillId="36" borderId="30" xfId="0" applyFill="1" applyBorder="1"/>
    <xf numFmtId="0" fontId="0" fillId="36" borderId="31" xfId="0" applyFill="1" applyBorder="1"/>
    <xf numFmtId="0" fontId="0" fillId="36" borderId="32" xfId="0" applyFill="1" applyBorder="1"/>
    <xf numFmtId="0" fontId="0" fillId="35" borderId="28" xfId="0" applyFill="1" applyBorder="1" applyAlignment="1">
      <alignment horizontal="center" vertical="center"/>
    </xf>
    <xf numFmtId="0" fontId="0" fillId="35" borderId="29" xfId="0" applyFill="1" applyBorder="1" applyAlignment="1">
      <alignment horizontal="center" vertical="center"/>
    </xf>
    <xf numFmtId="0" fontId="0" fillId="35" borderId="30" xfId="0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0" fontId="0" fillId="36" borderId="34" xfId="0" applyFill="1" applyBorder="1"/>
    <xf numFmtId="0" fontId="0" fillId="36" borderId="28" xfId="0" applyFill="1" applyBorder="1" applyAlignment="1">
      <alignment horizontal="left"/>
    </xf>
    <xf numFmtId="0" fontId="0" fillId="36" borderId="29" xfId="0" applyFill="1" applyBorder="1" applyAlignment="1">
      <alignment horizontal="left"/>
    </xf>
    <xf numFmtId="0" fontId="0" fillId="36" borderId="30" xfId="0" applyFill="1" applyBorder="1" applyAlignment="1">
      <alignment horizontal="left"/>
    </xf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14" fillId="35" borderId="0" xfId="0" applyFont="1" applyFill="1"/>
    <xf numFmtId="2" fontId="0" fillId="0" borderId="22" xfId="0" applyNumberFormat="1" applyBorder="1"/>
    <xf numFmtId="2" fontId="0" fillId="0" borderId="24" xfId="0" applyNumberFormat="1" applyBorder="1"/>
    <xf numFmtId="2" fontId="0" fillId="0" borderId="27" xfId="0" applyNumberFormat="1" applyBorder="1"/>
    <xf numFmtId="0" fontId="0" fillId="37" borderId="33" xfId="0" applyFill="1" applyBorder="1"/>
    <xf numFmtId="0" fontId="20" fillId="0" borderId="0" xfId="42" applyAlignment="1">
      <alignment horizontal="center" wrapText="1"/>
    </xf>
    <xf numFmtId="0" fontId="18" fillId="0" borderId="0" xfId="0" applyFont="1"/>
    <xf numFmtId="0" fontId="24" fillId="34" borderId="20" xfId="0" applyFont="1" applyFill="1" applyBorder="1" applyAlignment="1">
      <alignment horizontal="center" vertical="center"/>
    </xf>
    <xf numFmtId="0" fontId="24" fillId="34" borderId="21" xfId="0" applyFont="1" applyFill="1" applyBorder="1" applyAlignment="1">
      <alignment horizontal="center" vertical="center"/>
    </xf>
    <xf numFmtId="0" fontId="24" fillId="34" borderId="22" xfId="0" applyFont="1" applyFill="1" applyBorder="1" applyAlignment="1">
      <alignment horizontal="center" vertical="center"/>
    </xf>
    <xf numFmtId="0" fontId="24" fillId="34" borderId="23" xfId="0" applyFont="1" applyFill="1" applyBorder="1" applyAlignment="1">
      <alignment horizontal="center" vertical="center"/>
    </xf>
    <xf numFmtId="0" fontId="24" fillId="34" borderId="0" xfId="0" applyFont="1" applyFill="1" applyAlignment="1">
      <alignment horizontal="center" vertical="center"/>
    </xf>
    <xf numFmtId="0" fontId="24" fillId="34" borderId="24" xfId="0" applyFont="1" applyFill="1" applyBorder="1" applyAlignment="1">
      <alignment horizontal="center" vertical="center"/>
    </xf>
    <xf numFmtId="0" fontId="24" fillId="34" borderId="25" xfId="0" applyFont="1" applyFill="1" applyBorder="1" applyAlignment="1">
      <alignment horizontal="center" vertical="center"/>
    </xf>
    <xf numFmtId="0" fontId="24" fillId="34" borderId="26" xfId="0" applyFont="1" applyFill="1" applyBorder="1" applyAlignment="1">
      <alignment horizontal="center" vertical="center"/>
    </xf>
    <xf numFmtId="0" fontId="24" fillId="34" borderId="27" xfId="0" applyFont="1" applyFill="1" applyBorder="1" applyAlignment="1">
      <alignment horizontal="center" vertical="center"/>
    </xf>
    <xf numFmtId="0" fontId="0" fillId="0" borderId="0" xfId="0" applyNumberFormat="1"/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Porcentaje" xfId="43" builtinId="5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181"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2" formatCode="0.00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2" formatCode="0.00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2" formatCode="0.00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2" formatCode="0.00"/>
    </dxf>
    <dxf>
      <numFmt numFmtId="2" formatCode="0.00"/>
    </dxf>
    <dxf>
      <numFmt numFmtId="13" formatCode="0%"/>
    </dxf>
    <dxf>
      <numFmt numFmtId="13" formatCode="0%"/>
    </dxf>
    <dxf>
      <numFmt numFmtId="13" formatCode="0%"/>
    </dxf>
    <dxf>
      <numFmt numFmtId="2" formatCode="0.00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/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2" formatCode="0.00"/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3" formatCode="0%"/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3" formatCode="0%"/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3" formatCode="0%"/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3" formatCode="#,##0"/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9" formatCode="dd/mm/yyyy"/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top style="medium">
          <color rgb="FF000000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border outline="0">
        <top style="medium">
          <color rgb="FF000000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/>
        <bottom/>
      </border>
    </dxf>
  </dxfs>
  <tableStyles count="0" defaultTableStyle="TableStyleMedium2" defaultPivotStyle="PivotStyleLight16"/>
  <colors>
    <mruColors>
      <color rgb="FFFEBA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pivotCacheDefinition" Target="pivotCache/pivotCacheDefinition7.xml"/><Relationship Id="rId18" Type="http://schemas.microsoft.com/office/2007/relationships/slicerCache" Target="slicerCaches/slicerCache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pivotCacheDefinition" Target="pivotCache/pivotCacheDefinition1.xml"/><Relationship Id="rId12" Type="http://schemas.openxmlformats.org/officeDocument/2006/relationships/pivotCacheDefinition" Target="pivotCache/pivotCacheDefinition6.xml"/><Relationship Id="rId17" Type="http://schemas.microsoft.com/office/2007/relationships/slicerCache" Target="slicerCaches/slicerCache2.xml"/><Relationship Id="rId25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microsoft.com/office/2007/relationships/slicerCache" Target="slicerCaches/slicerCache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5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9.xml"/><Relationship Id="rId23" Type="http://schemas.openxmlformats.org/officeDocument/2006/relationships/styles" Target="styles.xml"/><Relationship Id="rId10" Type="http://schemas.openxmlformats.org/officeDocument/2006/relationships/pivotCacheDefinition" Target="pivotCache/pivotCacheDefinition4.xml"/><Relationship Id="rId19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pivotCacheDefinition" Target="pivotCache/pivotCacheDefinition8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[Dashboard_Left_CB_ZGZ.xlsm]Pivot Tables!TablaDinámica1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'Pivot Tables'!$D$3</c:f>
              <c:strCache>
                <c:ptCount val="1"/>
                <c:pt idx="0">
                  <c:v>% Pases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Tables'!$B$4:$B$29</c:f>
              <c:strCache>
                <c:ptCount val="26"/>
                <c:pt idx="0">
                  <c:v>Nikos Michelis</c:v>
                </c:pt>
                <c:pt idx="1">
                  <c:v>Álex Pérez</c:v>
                </c:pt>
                <c:pt idx="2">
                  <c:v>Ousmane Diomandé</c:v>
                </c:pt>
                <c:pt idx="3">
                  <c:v>Matthias Ginter</c:v>
                </c:pt>
                <c:pt idx="4">
                  <c:v>David Carmo</c:v>
                </c:pt>
                <c:pt idx="5">
                  <c:v>Luis Binks</c:v>
                </c:pt>
                <c:pt idx="6">
                  <c:v>Maxime Estève</c:v>
                </c:pt>
                <c:pt idx="7">
                  <c:v>Attila Szalai</c:v>
                </c:pt>
                <c:pt idx="8">
                  <c:v>Marin Pongračić</c:v>
                </c:pt>
                <c:pt idx="9">
                  <c:v>Patric Pfeiffer</c:v>
                </c:pt>
                <c:pt idx="10">
                  <c:v>Luka Lochoshvili</c:v>
                </c:pt>
                <c:pt idx="11">
                  <c:v>Strahinja Pavlović</c:v>
                </c:pt>
                <c:pt idx="12">
                  <c:v>David Domgjoni</c:v>
                </c:pt>
                <c:pt idx="13">
                  <c:v>Dominic Revan</c:v>
                </c:pt>
                <c:pt idx="14">
                  <c:v>Ertuğrul Kurtuluş</c:v>
                </c:pt>
                <c:pt idx="15">
                  <c:v>Stuart Findlay</c:v>
                </c:pt>
                <c:pt idx="16">
                  <c:v>Nicolás Meriano</c:v>
                </c:pt>
                <c:pt idx="17">
                  <c:v>Dan Happe</c:v>
                </c:pt>
                <c:pt idx="18">
                  <c:v>Samuel Gómez</c:v>
                </c:pt>
                <c:pt idx="19">
                  <c:v>José Manuel Copete</c:v>
                </c:pt>
                <c:pt idx="20">
                  <c:v>Nicolas Taravel</c:v>
                </c:pt>
                <c:pt idx="21">
                  <c:v>Samuel Biek</c:v>
                </c:pt>
                <c:pt idx="22">
                  <c:v>Damián Canedo</c:v>
                </c:pt>
                <c:pt idx="23">
                  <c:v>Dimitrie Deumi Nappi</c:v>
                </c:pt>
                <c:pt idx="24">
                  <c:v>Jorge Herrando</c:v>
                </c:pt>
                <c:pt idx="25">
                  <c:v>Mariano Fazio</c:v>
                </c:pt>
              </c:strCache>
            </c:strRef>
          </c:cat>
          <c:val>
            <c:numRef>
              <c:f>'Pivot Tables'!$D$4:$D$29</c:f>
              <c:numCache>
                <c:formatCode>0%</c:formatCode>
                <c:ptCount val="26"/>
                <c:pt idx="0">
                  <c:v>0.93</c:v>
                </c:pt>
                <c:pt idx="1">
                  <c:v>0.92</c:v>
                </c:pt>
                <c:pt idx="2">
                  <c:v>0.89</c:v>
                </c:pt>
                <c:pt idx="3">
                  <c:v>0.9</c:v>
                </c:pt>
                <c:pt idx="4">
                  <c:v>0.88</c:v>
                </c:pt>
                <c:pt idx="5">
                  <c:v>0.95</c:v>
                </c:pt>
                <c:pt idx="6">
                  <c:v>0.88</c:v>
                </c:pt>
                <c:pt idx="7">
                  <c:v>0.88</c:v>
                </c:pt>
                <c:pt idx="8">
                  <c:v>0.95</c:v>
                </c:pt>
                <c:pt idx="9">
                  <c:v>0.89</c:v>
                </c:pt>
                <c:pt idx="10">
                  <c:v>0.91</c:v>
                </c:pt>
                <c:pt idx="11">
                  <c:v>0.9</c:v>
                </c:pt>
                <c:pt idx="12">
                  <c:v>0.83</c:v>
                </c:pt>
                <c:pt idx="13">
                  <c:v>0.78</c:v>
                </c:pt>
                <c:pt idx="14">
                  <c:v>0.8</c:v>
                </c:pt>
                <c:pt idx="15">
                  <c:v>0.82</c:v>
                </c:pt>
                <c:pt idx="16">
                  <c:v>0.82</c:v>
                </c:pt>
                <c:pt idx="17">
                  <c:v>0.79</c:v>
                </c:pt>
                <c:pt idx="18">
                  <c:v>0.73</c:v>
                </c:pt>
                <c:pt idx="19">
                  <c:v>0.85</c:v>
                </c:pt>
                <c:pt idx="20">
                  <c:v>0.66</c:v>
                </c:pt>
                <c:pt idx="21">
                  <c:v>0.67</c:v>
                </c:pt>
                <c:pt idx="22">
                  <c:v>0.8</c:v>
                </c:pt>
                <c:pt idx="23">
                  <c:v>0.78</c:v>
                </c:pt>
                <c:pt idx="24">
                  <c:v>0.66</c:v>
                </c:pt>
                <c:pt idx="25">
                  <c:v>0.64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33-437B-AB14-38256B034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335587343"/>
        <c:axId val="1335583503"/>
      </c:barChart>
      <c:lineChart>
        <c:grouping val="standard"/>
        <c:varyColors val="0"/>
        <c:ser>
          <c:idx val="0"/>
          <c:order val="0"/>
          <c:tx>
            <c:strRef>
              <c:f>'Pivot Tables'!$C$3</c:f>
              <c:strCache>
                <c:ptCount val="1"/>
                <c:pt idx="0">
                  <c:v> Pases Comp/90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'Pivot Tables'!$B$4:$B$29</c:f>
              <c:strCache>
                <c:ptCount val="26"/>
                <c:pt idx="0">
                  <c:v>Nikos Michelis</c:v>
                </c:pt>
                <c:pt idx="1">
                  <c:v>Álex Pérez</c:v>
                </c:pt>
                <c:pt idx="2">
                  <c:v>Ousmane Diomandé</c:v>
                </c:pt>
                <c:pt idx="3">
                  <c:v>Matthias Ginter</c:v>
                </c:pt>
                <c:pt idx="4">
                  <c:v>David Carmo</c:v>
                </c:pt>
                <c:pt idx="5">
                  <c:v>Luis Binks</c:v>
                </c:pt>
                <c:pt idx="6">
                  <c:v>Maxime Estève</c:v>
                </c:pt>
                <c:pt idx="7">
                  <c:v>Attila Szalai</c:v>
                </c:pt>
                <c:pt idx="8">
                  <c:v>Marin Pongračić</c:v>
                </c:pt>
                <c:pt idx="9">
                  <c:v>Patric Pfeiffer</c:v>
                </c:pt>
                <c:pt idx="10">
                  <c:v>Luka Lochoshvili</c:v>
                </c:pt>
                <c:pt idx="11">
                  <c:v>Strahinja Pavlović</c:v>
                </c:pt>
                <c:pt idx="12">
                  <c:v>David Domgjoni</c:v>
                </c:pt>
                <c:pt idx="13">
                  <c:v>Dominic Revan</c:v>
                </c:pt>
                <c:pt idx="14">
                  <c:v>Ertuğrul Kurtuluş</c:v>
                </c:pt>
                <c:pt idx="15">
                  <c:v>Stuart Findlay</c:v>
                </c:pt>
                <c:pt idx="16">
                  <c:v>Nicolás Meriano</c:v>
                </c:pt>
                <c:pt idx="17">
                  <c:v>Dan Happe</c:v>
                </c:pt>
                <c:pt idx="18">
                  <c:v>Samuel Gómez</c:v>
                </c:pt>
                <c:pt idx="19">
                  <c:v>José Manuel Copete</c:v>
                </c:pt>
                <c:pt idx="20">
                  <c:v>Nicolas Taravel</c:v>
                </c:pt>
                <c:pt idx="21">
                  <c:v>Samuel Biek</c:v>
                </c:pt>
                <c:pt idx="22">
                  <c:v>Damián Canedo</c:v>
                </c:pt>
                <c:pt idx="23">
                  <c:v>Dimitrie Deumi Nappi</c:v>
                </c:pt>
                <c:pt idx="24">
                  <c:v>Jorge Herrando</c:v>
                </c:pt>
                <c:pt idx="25">
                  <c:v>Mariano Fazio</c:v>
                </c:pt>
              </c:strCache>
            </c:strRef>
          </c:cat>
          <c:val>
            <c:numRef>
              <c:f>'Pivot Tables'!$C$4:$C$29</c:f>
              <c:numCache>
                <c:formatCode>General</c:formatCode>
                <c:ptCount val="26"/>
                <c:pt idx="0">
                  <c:v>94.2</c:v>
                </c:pt>
                <c:pt idx="1">
                  <c:v>84.09</c:v>
                </c:pt>
                <c:pt idx="2">
                  <c:v>73.5</c:v>
                </c:pt>
                <c:pt idx="3">
                  <c:v>68.33</c:v>
                </c:pt>
                <c:pt idx="4">
                  <c:v>67.14</c:v>
                </c:pt>
                <c:pt idx="5">
                  <c:v>61.66</c:v>
                </c:pt>
                <c:pt idx="6">
                  <c:v>60.38</c:v>
                </c:pt>
                <c:pt idx="7">
                  <c:v>59.65</c:v>
                </c:pt>
                <c:pt idx="8">
                  <c:v>59.62</c:v>
                </c:pt>
                <c:pt idx="9">
                  <c:v>58.99</c:v>
                </c:pt>
                <c:pt idx="10">
                  <c:v>58.98</c:v>
                </c:pt>
                <c:pt idx="11">
                  <c:v>57.43</c:v>
                </c:pt>
                <c:pt idx="12">
                  <c:v>54.08</c:v>
                </c:pt>
                <c:pt idx="13">
                  <c:v>52.49</c:v>
                </c:pt>
                <c:pt idx="14">
                  <c:v>52.1</c:v>
                </c:pt>
                <c:pt idx="15">
                  <c:v>51.66</c:v>
                </c:pt>
                <c:pt idx="16">
                  <c:v>51.12</c:v>
                </c:pt>
                <c:pt idx="17">
                  <c:v>51.04</c:v>
                </c:pt>
                <c:pt idx="18">
                  <c:v>47.38</c:v>
                </c:pt>
                <c:pt idx="19">
                  <c:v>44</c:v>
                </c:pt>
                <c:pt idx="20">
                  <c:v>42.72</c:v>
                </c:pt>
                <c:pt idx="21">
                  <c:v>42.32</c:v>
                </c:pt>
                <c:pt idx="22">
                  <c:v>42.01</c:v>
                </c:pt>
                <c:pt idx="23">
                  <c:v>41.17</c:v>
                </c:pt>
                <c:pt idx="24">
                  <c:v>40.159999999999997</c:v>
                </c:pt>
                <c:pt idx="25">
                  <c:v>38.950000000000003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33-437B-AB14-38256B034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47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marker val="1"/>
        <c:smooth val="0"/>
        <c:axId val="1172372895"/>
        <c:axId val="1172377215"/>
      </c:lineChart>
      <c:catAx>
        <c:axId val="1335587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35583503"/>
        <c:crosses val="autoZero"/>
        <c:auto val="1"/>
        <c:lblAlgn val="ctr"/>
        <c:lblOffset val="100"/>
        <c:noMultiLvlLbl val="0"/>
      </c:catAx>
      <c:valAx>
        <c:axId val="1335583503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35587343"/>
        <c:crosses val="autoZero"/>
        <c:crossBetween val="between"/>
      </c:valAx>
      <c:valAx>
        <c:axId val="117237721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72372895"/>
        <c:crosses val="max"/>
        <c:crossBetween val="between"/>
      </c:valAx>
      <c:catAx>
        <c:axId val="11723728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237721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6200000" rotWithShape="0">
        <a:schemeClr val="accent2">
          <a:lumMod val="75000"/>
          <a:alpha val="40000"/>
        </a:schemeClr>
      </a:out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[Dashboard_Left_CB_ZGZ.xlsm]Pivot Tables!TablaDinámica3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0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E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Cabezazos ganados /90min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10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>
              <a:lumMod val="40000"/>
              <a:lumOff val="60000"/>
            </a:schemeClr>
          </a:solidFill>
          <a:ln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lumMod val="40000"/>
              <a:lumOff val="60000"/>
            </a:schemeClr>
          </a:solidFill>
          <a:ln>
            <a:solidFill>
              <a:schemeClr val="accent1"/>
            </a:solidFill>
          </a:ln>
          <a:effectLst/>
        </c:spPr>
      </c:pivotFmt>
      <c:pivotFmt>
        <c:idx val="2"/>
        <c:spPr>
          <a:solidFill>
            <a:schemeClr val="accent1">
              <a:lumMod val="40000"/>
              <a:lumOff val="60000"/>
            </a:schemeClr>
          </a:solidFill>
          <a:ln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60000"/>
              <a:lumOff val="40000"/>
            </a:schemeClr>
          </a:solidFill>
          <a:ln>
            <a:solidFill>
              <a:schemeClr val="accent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Tables'!$M$3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accent2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Tables'!$L$4:$L$29</c:f>
              <c:strCache>
                <c:ptCount val="26"/>
                <c:pt idx="0">
                  <c:v>Ousmane Diomandé</c:v>
                </c:pt>
                <c:pt idx="1">
                  <c:v>Patric Pfeiffer</c:v>
                </c:pt>
                <c:pt idx="2">
                  <c:v>Dimitrie Deumi Nappi</c:v>
                </c:pt>
                <c:pt idx="3">
                  <c:v>Strahinja Pavlović</c:v>
                </c:pt>
                <c:pt idx="4">
                  <c:v>Marin Pongračić</c:v>
                </c:pt>
                <c:pt idx="5">
                  <c:v>Matthias Ginter</c:v>
                </c:pt>
                <c:pt idx="6">
                  <c:v>José Manuel Copete</c:v>
                </c:pt>
                <c:pt idx="7">
                  <c:v>Nikos Michelis</c:v>
                </c:pt>
                <c:pt idx="8">
                  <c:v>David Carmo</c:v>
                </c:pt>
                <c:pt idx="9">
                  <c:v>David Domgjoni</c:v>
                </c:pt>
                <c:pt idx="10">
                  <c:v>Maxime Estève</c:v>
                </c:pt>
                <c:pt idx="11">
                  <c:v>Damián Canedo</c:v>
                </c:pt>
                <c:pt idx="12">
                  <c:v>Attila Szalai</c:v>
                </c:pt>
                <c:pt idx="13">
                  <c:v>Stuart Findlay</c:v>
                </c:pt>
                <c:pt idx="14">
                  <c:v>Luis Binks</c:v>
                </c:pt>
                <c:pt idx="15">
                  <c:v>Álex Pérez</c:v>
                </c:pt>
                <c:pt idx="16">
                  <c:v>Nicolás Meriano</c:v>
                </c:pt>
                <c:pt idx="17">
                  <c:v>Luka Lochoshvili</c:v>
                </c:pt>
                <c:pt idx="18">
                  <c:v>Dan Happe</c:v>
                </c:pt>
                <c:pt idx="19">
                  <c:v>Jorge Herrando</c:v>
                </c:pt>
                <c:pt idx="20">
                  <c:v>Ertuğrul Kurtuluş</c:v>
                </c:pt>
                <c:pt idx="21">
                  <c:v>Dominic Revan</c:v>
                </c:pt>
                <c:pt idx="22">
                  <c:v>Nicolas Taravel</c:v>
                </c:pt>
                <c:pt idx="23">
                  <c:v>Samuel Biek</c:v>
                </c:pt>
                <c:pt idx="24">
                  <c:v>Mariano Fazio</c:v>
                </c:pt>
                <c:pt idx="25">
                  <c:v>Samuel Gómez</c:v>
                </c:pt>
              </c:strCache>
            </c:strRef>
          </c:cat>
          <c:val>
            <c:numRef>
              <c:f>'Pivot Tables'!$M$4:$M$29</c:f>
              <c:numCache>
                <c:formatCode>General</c:formatCode>
                <c:ptCount val="26"/>
                <c:pt idx="0">
                  <c:v>6.09</c:v>
                </c:pt>
                <c:pt idx="1">
                  <c:v>6.54</c:v>
                </c:pt>
                <c:pt idx="2">
                  <c:v>6.62</c:v>
                </c:pt>
                <c:pt idx="3">
                  <c:v>6.68</c:v>
                </c:pt>
                <c:pt idx="4">
                  <c:v>6.75</c:v>
                </c:pt>
                <c:pt idx="5">
                  <c:v>6.94</c:v>
                </c:pt>
                <c:pt idx="6">
                  <c:v>7.05</c:v>
                </c:pt>
                <c:pt idx="7">
                  <c:v>7.1</c:v>
                </c:pt>
                <c:pt idx="8">
                  <c:v>7.14</c:v>
                </c:pt>
                <c:pt idx="9">
                  <c:v>7.15</c:v>
                </c:pt>
                <c:pt idx="10">
                  <c:v>7.38</c:v>
                </c:pt>
                <c:pt idx="11">
                  <c:v>7.41</c:v>
                </c:pt>
                <c:pt idx="12">
                  <c:v>7.44</c:v>
                </c:pt>
                <c:pt idx="13">
                  <c:v>7.57</c:v>
                </c:pt>
                <c:pt idx="14">
                  <c:v>7.96</c:v>
                </c:pt>
                <c:pt idx="15">
                  <c:v>8.44</c:v>
                </c:pt>
                <c:pt idx="16">
                  <c:v>8.9700000000000006</c:v>
                </c:pt>
                <c:pt idx="17">
                  <c:v>9.02</c:v>
                </c:pt>
                <c:pt idx="18">
                  <c:v>9.35</c:v>
                </c:pt>
                <c:pt idx="19">
                  <c:v>11.18</c:v>
                </c:pt>
                <c:pt idx="20">
                  <c:v>11.56</c:v>
                </c:pt>
                <c:pt idx="21">
                  <c:v>11.66</c:v>
                </c:pt>
                <c:pt idx="22">
                  <c:v>11.7</c:v>
                </c:pt>
                <c:pt idx="23">
                  <c:v>12.28</c:v>
                </c:pt>
                <c:pt idx="24">
                  <c:v>12.54</c:v>
                </c:pt>
                <c:pt idx="25">
                  <c:v>13.88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5D-4795-964F-B28FDDDFB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1506763007"/>
        <c:axId val="1506763487"/>
      </c:barChart>
      <c:catAx>
        <c:axId val="150676300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06763487"/>
        <c:crosses val="autoZero"/>
        <c:auto val="1"/>
        <c:lblAlgn val="ctr"/>
        <c:lblOffset val="100"/>
        <c:noMultiLvlLbl val="0"/>
      </c:catAx>
      <c:valAx>
        <c:axId val="150676348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676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6200000" rotWithShape="0">
        <a:schemeClr val="accent2">
          <a:lumMod val="75000"/>
          <a:alpha val="40000"/>
        </a:schemeClr>
      </a:out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[Dashboard_Left_CB_ZGZ.xlsm]Pivot Tables!TablaDinámica7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100" b="1"/>
              <a:t>Ratio cabezazos ganados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75000"/>
            </a:schemeClr>
          </a:solidFill>
          <a:ln>
            <a:solidFill>
              <a:schemeClr val="accent2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Tables'!$M$34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accent2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Tables'!$L$35:$L$60</c:f>
              <c:strCache>
                <c:ptCount val="26"/>
                <c:pt idx="0">
                  <c:v>Jorge Herrando</c:v>
                </c:pt>
                <c:pt idx="1">
                  <c:v>Marin Pongračić</c:v>
                </c:pt>
                <c:pt idx="2">
                  <c:v>Stuart Findlay</c:v>
                </c:pt>
                <c:pt idx="3">
                  <c:v>Luis Binks</c:v>
                </c:pt>
                <c:pt idx="4">
                  <c:v>Damián Canedo</c:v>
                </c:pt>
                <c:pt idx="5">
                  <c:v>Dimitrie Deumi Nappi</c:v>
                </c:pt>
                <c:pt idx="6">
                  <c:v>Strahinja Pavlović</c:v>
                </c:pt>
                <c:pt idx="7">
                  <c:v>David Carmo</c:v>
                </c:pt>
                <c:pt idx="8">
                  <c:v>Patric Pfeiffer</c:v>
                </c:pt>
                <c:pt idx="9">
                  <c:v>Ousmane Diomandé</c:v>
                </c:pt>
                <c:pt idx="10">
                  <c:v>Matthias Ginter</c:v>
                </c:pt>
                <c:pt idx="11">
                  <c:v>Dominic Revan</c:v>
                </c:pt>
                <c:pt idx="12">
                  <c:v>Maxime Estève</c:v>
                </c:pt>
                <c:pt idx="13">
                  <c:v>Attila Szalai</c:v>
                </c:pt>
                <c:pt idx="14">
                  <c:v>David Domgjoni</c:v>
                </c:pt>
                <c:pt idx="15">
                  <c:v>Luka Lochoshvili</c:v>
                </c:pt>
                <c:pt idx="16">
                  <c:v>José Manuel Copete</c:v>
                </c:pt>
                <c:pt idx="17">
                  <c:v>Nicolas Taravel</c:v>
                </c:pt>
                <c:pt idx="18">
                  <c:v>Ertuğrul Kurtuluş</c:v>
                </c:pt>
                <c:pt idx="19">
                  <c:v>Álex Pérez</c:v>
                </c:pt>
                <c:pt idx="20">
                  <c:v>Samuel Biek</c:v>
                </c:pt>
                <c:pt idx="21">
                  <c:v>Samuel Gómez</c:v>
                </c:pt>
                <c:pt idx="22">
                  <c:v>Dan Happe</c:v>
                </c:pt>
                <c:pt idx="23">
                  <c:v>Nikos Michelis</c:v>
                </c:pt>
                <c:pt idx="24">
                  <c:v>Nicolás Meriano</c:v>
                </c:pt>
                <c:pt idx="25">
                  <c:v>Mariano Fazio</c:v>
                </c:pt>
              </c:strCache>
            </c:strRef>
          </c:cat>
          <c:val>
            <c:numRef>
              <c:f>'Pivot Tables'!$M$35:$M$60</c:f>
              <c:numCache>
                <c:formatCode>0%</c:formatCode>
                <c:ptCount val="26"/>
                <c:pt idx="0">
                  <c:v>0.75</c:v>
                </c:pt>
                <c:pt idx="1">
                  <c:v>0.75</c:v>
                </c:pt>
                <c:pt idx="2">
                  <c:v>0.76</c:v>
                </c:pt>
                <c:pt idx="3">
                  <c:v>0.76</c:v>
                </c:pt>
                <c:pt idx="4">
                  <c:v>0.76</c:v>
                </c:pt>
                <c:pt idx="5">
                  <c:v>0.77</c:v>
                </c:pt>
                <c:pt idx="6">
                  <c:v>0.77</c:v>
                </c:pt>
                <c:pt idx="7">
                  <c:v>0.77</c:v>
                </c:pt>
                <c:pt idx="8">
                  <c:v>0.77</c:v>
                </c:pt>
                <c:pt idx="9">
                  <c:v>0.77</c:v>
                </c:pt>
                <c:pt idx="10">
                  <c:v>0.78</c:v>
                </c:pt>
                <c:pt idx="11">
                  <c:v>0.78</c:v>
                </c:pt>
                <c:pt idx="12">
                  <c:v>0.78</c:v>
                </c:pt>
                <c:pt idx="13">
                  <c:v>0.78</c:v>
                </c:pt>
                <c:pt idx="14">
                  <c:v>0.79</c:v>
                </c:pt>
                <c:pt idx="15">
                  <c:v>0.81</c:v>
                </c:pt>
                <c:pt idx="16">
                  <c:v>0.81</c:v>
                </c:pt>
                <c:pt idx="17">
                  <c:v>0.82</c:v>
                </c:pt>
                <c:pt idx="18">
                  <c:v>0.82</c:v>
                </c:pt>
                <c:pt idx="19">
                  <c:v>0.83</c:v>
                </c:pt>
                <c:pt idx="20">
                  <c:v>0.83</c:v>
                </c:pt>
                <c:pt idx="21">
                  <c:v>0.83</c:v>
                </c:pt>
                <c:pt idx="22">
                  <c:v>0.83</c:v>
                </c:pt>
                <c:pt idx="23">
                  <c:v>0.83</c:v>
                </c:pt>
                <c:pt idx="24">
                  <c:v>0.87</c:v>
                </c:pt>
                <c:pt idx="25">
                  <c:v>0.88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7C-4E9D-8F02-3D6CF7535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"/>
        <c:axId val="865637631"/>
        <c:axId val="865635711"/>
      </c:barChart>
      <c:catAx>
        <c:axId val="8656376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65635711"/>
        <c:crosses val="autoZero"/>
        <c:auto val="1"/>
        <c:lblAlgn val="ctr"/>
        <c:lblOffset val="100"/>
        <c:noMultiLvlLbl val="0"/>
      </c:catAx>
      <c:valAx>
        <c:axId val="865635711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656376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6200000" rotWithShape="0">
        <a:schemeClr val="accent2">
          <a:lumMod val="75000"/>
          <a:alpha val="40000"/>
        </a:schemeClr>
      </a:out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[Dashboard_Left_CB_ZGZ.xlsm]Pivot Tables!TablaDinámica8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6.215299982253257E-2"/>
          <c:y val="3.4533698660478125E-2"/>
          <c:w val="0.88173816381489645"/>
          <c:h val="0.75251871049142172"/>
        </c:manualLayout>
      </c:layout>
      <c:lineChart>
        <c:grouping val="standard"/>
        <c:varyColors val="0"/>
        <c:ser>
          <c:idx val="0"/>
          <c:order val="0"/>
          <c:tx>
            <c:strRef>
              <c:f>'Pivot Tables'!$V$75</c:f>
              <c:strCache>
                <c:ptCount val="1"/>
                <c:pt idx="0">
                  <c:v>Suma de Bal aér/90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'Pivot Tables'!$U$76:$U$101</c:f>
              <c:strCache>
                <c:ptCount val="26"/>
                <c:pt idx="0">
                  <c:v>Strahinja Pavlović</c:v>
                </c:pt>
                <c:pt idx="1">
                  <c:v>Attila Szalai</c:v>
                </c:pt>
                <c:pt idx="2">
                  <c:v>Álex Pérez</c:v>
                </c:pt>
                <c:pt idx="3">
                  <c:v>Damián Canedo</c:v>
                </c:pt>
                <c:pt idx="4">
                  <c:v>Dan Happe</c:v>
                </c:pt>
                <c:pt idx="5">
                  <c:v>David Carmo</c:v>
                </c:pt>
                <c:pt idx="6">
                  <c:v>David Domgjoni</c:v>
                </c:pt>
                <c:pt idx="7">
                  <c:v>Dimitrie Deumi Nappi</c:v>
                </c:pt>
                <c:pt idx="8">
                  <c:v>Dominic Revan</c:v>
                </c:pt>
                <c:pt idx="9">
                  <c:v>Ertuğrul Kurtuluş</c:v>
                </c:pt>
                <c:pt idx="10">
                  <c:v>Jorge Herrando</c:v>
                </c:pt>
                <c:pt idx="11">
                  <c:v>José Manuel Copete</c:v>
                </c:pt>
                <c:pt idx="12">
                  <c:v>Luis Binks</c:v>
                </c:pt>
                <c:pt idx="13">
                  <c:v>Luka Lochoshvili</c:v>
                </c:pt>
                <c:pt idx="14">
                  <c:v>Mariano Fazio</c:v>
                </c:pt>
                <c:pt idx="15">
                  <c:v>Marin Pongračić</c:v>
                </c:pt>
                <c:pt idx="16">
                  <c:v>Matthias Ginter</c:v>
                </c:pt>
                <c:pt idx="17">
                  <c:v>Maxime Estève</c:v>
                </c:pt>
                <c:pt idx="18">
                  <c:v>Nicolás Meriano</c:v>
                </c:pt>
                <c:pt idx="19">
                  <c:v>Nicolas Taravel</c:v>
                </c:pt>
                <c:pt idx="20">
                  <c:v>Nikos Michelis</c:v>
                </c:pt>
                <c:pt idx="21">
                  <c:v>Ousmane Diomandé</c:v>
                </c:pt>
                <c:pt idx="22">
                  <c:v>Patric Pfeiffer</c:v>
                </c:pt>
                <c:pt idx="23">
                  <c:v>Samuel Biek</c:v>
                </c:pt>
                <c:pt idx="24">
                  <c:v>Samuel Gómez</c:v>
                </c:pt>
                <c:pt idx="25">
                  <c:v>Stuart Findlay</c:v>
                </c:pt>
              </c:strCache>
            </c:strRef>
          </c:cat>
          <c:val>
            <c:numRef>
              <c:f>'Pivot Tables'!$V$76:$V$101</c:f>
              <c:numCache>
                <c:formatCode>General</c:formatCode>
                <c:ptCount val="26"/>
                <c:pt idx="0">
                  <c:v>8.65</c:v>
                </c:pt>
                <c:pt idx="1">
                  <c:v>9.5</c:v>
                </c:pt>
                <c:pt idx="2">
                  <c:v>10.11</c:v>
                </c:pt>
                <c:pt idx="3">
                  <c:v>9.74</c:v>
                </c:pt>
                <c:pt idx="4">
                  <c:v>11.3</c:v>
                </c:pt>
                <c:pt idx="5">
                  <c:v>9.24</c:v>
                </c:pt>
                <c:pt idx="6">
                  <c:v>8.99</c:v>
                </c:pt>
                <c:pt idx="7">
                  <c:v>8.58</c:v>
                </c:pt>
                <c:pt idx="8">
                  <c:v>14.9</c:v>
                </c:pt>
                <c:pt idx="9">
                  <c:v>14.06</c:v>
                </c:pt>
                <c:pt idx="10">
                  <c:v>14.88</c:v>
                </c:pt>
                <c:pt idx="11">
                  <c:v>8.75</c:v>
                </c:pt>
                <c:pt idx="12">
                  <c:v>10.44</c:v>
                </c:pt>
                <c:pt idx="13">
                  <c:v>11.17</c:v>
                </c:pt>
                <c:pt idx="14">
                  <c:v>14.3</c:v>
                </c:pt>
                <c:pt idx="15">
                  <c:v>9</c:v>
                </c:pt>
                <c:pt idx="16">
                  <c:v>8.9</c:v>
                </c:pt>
                <c:pt idx="17">
                  <c:v>9.48</c:v>
                </c:pt>
                <c:pt idx="18">
                  <c:v>10.33</c:v>
                </c:pt>
                <c:pt idx="19">
                  <c:v>14.22</c:v>
                </c:pt>
                <c:pt idx="20">
                  <c:v>8.61</c:v>
                </c:pt>
                <c:pt idx="21">
                  <c:v>7.94</c:v>
                </c:pt>
                <c:pt idx="22">
                  <c:v>8.49</c:v>
                </c:pt>
                <c:pt idx="23">
                  <c:v>14.81</c:v>
                </c:pt>
                <c:pt idx="24">
                  <c:v>16.75</c:v>
                </c:pt>
                <c:pt idx="25">
                  <c:v>9.9499999999999993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20-4458-9C7D-35708D982F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0649791"/>
        <c:axId val="1170656991"/>
      </c:lineChart>
      <c:lineChart>
        <c:grouping val="standard"/>
        <c:varyColors val="0"/>
        <c:ser>
          <c:idx val="1"/>
          <c:order val="1"/>
          <c:tx>
            <c:strRef>
              <c:f>'Pivot Tables'!$W$75</c:f>
              <c:strCache>
                <c:ptCount val="1"/>
                <c:pt idx="0">
                  <c:v>Suma de Cab Clv/90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'Pivot Tables'!$U$76:$U$101</c:f>
              <c:strCache>
                <c:ptCount val="26"/>
                <c:pt idx="0">
                  <c:v>Strahinja Pavlović</c:v>
                </c:pt>
                <c:pt idx="1">
                  <c:v>Attila Szalai</c:v>
                </c:pt>
                <c:pt idx="2">
                  <c:v>Álex Pérez</c:v>
                </c:pt>
                <c:pt idx="3">
                  <c:v>Damián Canedo</c:v>
                </c:pt>
                <c:pt idx="4">
                  <c:v>Dan Happe</c:v>
                </c:pt>
                <c:pt idx="5">
                  <c:v>David Carmo</c:v>
                </c:pt>
                <c:pt idx="6">
                  <c:v>David Domgjoni</c:v>
                </c:pt>
                <c:pt idx="7">
                  <c:v>Dimitrie Deumi Nappi</c:v>
                </c:pt>
                <c:pt idx="8">
                  <c:v>Dominic Revan</c:v>
                </c:pt>
                <c:pt idx="9">
                  <c:v>Ertuğrul Kurtuluş</c:v>
                </c:pt>
                <c:pt idx="10">
                  <c:v>Jorge Herrando</c:v>
                </c:pt>
                <c:pt idx="11">
                  <c:v>José Manuel Copete</c:v>
                </c:pt>
                <c:pt idx="12">
                  <c:v>Luis Binks</c:v>
                </c:pt>
                <c:pt idx="13">
                  <c:v>Luka Lochoshvili</c:v>
                </c:pt>
                <c:pt idx="14">
                  <c:v>Mariano Fazio</c:v>
                </c:pt>
                <c:pt idx="15">
                  <c:v>Marin Pongračić</c:v>
                </c:pt>
                <c:pt idx="16">
                  <c:v>Matthias Ginter</c:v>
                </c:pt>
                <c:pt idx="17">
                  <c:v>Maxime Estève</c:v>
                </c:pt>
                <c:pt idx="18">
                  <c:v>Nicolás Meriano</c:v>
                </c:pt>
                <c:pt idx="19">
                  <c:v>Nicolas Taravel</c:v>
                </c:pt>
                <c:pt idx="20">
                  <c:v>Nikos Michelis</c:v>
                </c:pt>
                <c:pt idx="21">
                  <c:v>Ousmane Diomandé</c:v>
                </c:pt>
                <c:pt idx="22">
                  <c:v>Patric Pfeiffer</c:v>
                </c:pt>
                <c:pt idx="23">
                  <c:v>Samuel Biek</c:v>
                </c:pt>
                <c:pt idx="24">
                  <c:v>Samuel Gómez</c:v>
                </c:pt>
                <c:pt idx="25">
                  <c:v>Stuart Findlay</c:v>
                </c:pt>
              </c:strCache>
            </c:strRef>
          </c:cat>
          <c:val>
            <c:numRef>
              <c:f>'Pivot Tables'!$W$76:$W$101</c:f>
              <c:numCache>
                <c:formatCode>General</c:formatCode>
                <c:ptCount val="26"/>
                <c:pt idx="0">
                  <c:v>0.81</c:v>
                </c:pt>
                <c:pt idx="1">
                  <c:v>0.56999999999999995</c:v>
                </c:pt>
                <c:pt idx="2">
                  <c:v>0.56000000000000005</c:v>
                </c:pt>
                <c:pt idx="3">
                  <c:v>0.4</c:v>
                </c:pt>
                <c:pt idx="4">
                  <c:v>0.67</c:v>
                </c:pt>
                <c:pt idx="5">
                  <c:v>0.92</c:v>
                </c:pt>
                <c:pt idx="6">
                  <c:v>0.66</c:v>
                </c:pt>
                <c:pt idx="7">
                  <c:v>0.67</c:v>
                </c:pt>
                <c:pt idx="8">
                  <c:v>0.28000000000000003</c:v>
                </c:pt>
                <c:pt idx="9">
                  <c:v>1.06</c:v>
                </c:pt>
                <c:pt idx="10">
                  <c:v>1.21</c:v>
                </c:pt>
                <c:pt idx="11">
                  <c:v>0.91</c:v>
                </c:pt>
                <c:pt idx="12">
                  <c:v>0.99</c:v>
                </c:pt>
                <c:pt idx="13">
                  <c:v>0.76</c:v>
                </c:pt>
                <c:pt idx="14">
                  <c:v>0.22</c:v>
                </c:pt>
                <c:pt idx="15">
                  <c:v>0</c:v>
                </c:pt>
                <c:pt idx="16">
                  <c:v>0.82</c:v>
                </c:pt>
                <c:pt idx="17">
                  <c:v>0.92</c:v>
                </c:pt>
                <c:pt idx="18">
                  <c:v>0.27</c:v>
                </c:pt>
                <c:pt idx="19">
                  <c:v>0.77</c:v>
                </c:pt>
                <c:pt idx="20">
                  <c:v>0.73</c:v>
                </c:pt>
                <c:pt idx="21">
                  <c:v>0.38</c:v>
                </c:pt>
                <c:pt idx="22">
                  <c:v>0.79</c:v>
                </c:pt>
                <c:pt idx="23">
                  <c:v>0.5</c:v>
                </c:pt>
                <c:pt idx="24">
                  <c:v>0.12</c:v>
                </c:pt>
                <c:pt idx="25">
                  <c:v>0.62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20-4458-9C7D-35708D982F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9605871"/>
        <c:axId val="1039617871"/>
      </c:lineChart>
      <c:catAx>
        <c:axId val="1170649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70656991"/>
        <c:crosses val="autoZero"/>
        <c:auto val="1"/>
        <c:lblAlgn val="ctr"/>
        <c:lblOffset val="100"/>
        <c:noMultiLvlLbl val="0"/>
      </c:catAx>
      <c:valAx>
        <c:axId val="11706569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70649791"/>
        <c:crosses val="autoZero"/>
        <c:crossBetween val="between"/>
      </c:valAx>
      <c:valAx>
        <c:axId val="103961787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39605871"/>
        <c:crosses val="max"/>
        <c:crossBetween val="between"/>
      </c:valAx>
      <c:catAx>
        <c:axId val="1039605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39617871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8.2544748226925285E-2"/>
          <c:y val="1.6920276348692961E-2"/>
          <c:w val="0.22034837496072648"/>
          <c:h val="0.10595640794161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[Dashboard_Left_CB_ZGZ.xlsm]Pivot Tables!Pos Gan/Per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/>
              <a:t>Posesion W/L /90 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Tables'!$V$104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Tables'!$U$105:$U$130</c:f>
              <c:strCache>
                <c:ptCount val="26"/>
                <c:pt idx="0">
                  <c:v>Mariano Fazio</c:v>
                </c:pt>
                <c:pt idx="1">
                  <c:v>José Manuel Copete</c:v>
                </c:pt>
                <c:pt idx="2">
                  <c:v>Nikos Michelis</c:v>
                </c:pt>
                <c:pt idx="3">
                  <c:v>Álex Pérez</c:v>
                </c:pt>
                <c:pt idx="4">
                  <c:v>Jorge Herrando</c:v>
                </c:pt>
                <c:pt idx="5">
                  <c:v>Luka Lochoshvili</c:v>
                </c:pt>
                <c:pt idx="6">
                  <c:v>Damián Canedo</c:v>
                </c:pt>
                <c:pt idx="7">
                  <c:v>Ousmane Diomandé</c:v>
                </c:pt>
                <c:pt idx="8">
                  <c:v>Dominic Revan</c:v>
                </c:pt>
                <c:pt idx="9">
                  <c:v>Marin Pongračić</c:v>
                </c:pt>
                <c:pt idx="10">
                  <c:v>Attila Szalai</c:v>
                </c:pt>
                <c:pt idx="11">
                  <c:v>David Carmo</c:v>
                </c:pt>
                <c:pt idx="12">
                  <c:v>Samuel Gómez</c:v>
                </c:pt>
                <c:pt idx="13">
                  <c:v>Strahinja Pavlović</c:v>
                </c:pt>
                <c:pt idx="14">
                  <c:v>Maxime Estève</c:v>
                </c:pt>
                <c:pt idx="15">
                  <c:v>Matthias Ginter</c:v>
                </c:pt>
                <c:pt idx="16">
                  <c:v>Luis Binks</c:v>
                </c:pt>
                <c:pt idx="17">
                  <c:v>Samuel Biek</c:v>
                </c:pt>
                <c:pt idx="18">
                  <c:v>Patric Pfeiffer</c:v>
                </c:pt>
                <c:pt idx="19">
                  <c:v>Nicolás Meriano</c:v>
                </c:pt>
                <c:pt idx="20">
                  <c:v>Dimitrie Deumi Nappi</c:v>
                </c:pt>
                <c:pt idx="21">
                  <c:v>Nicolas Taravel</c:v>
                </c:pt>
                <c:pt idx="22">
                  <c:v>Ertuğrul Kurtuluş</c:v>
                </c:pt>
                <c:pt idx="23">
                  <c:v>Dan Happe</c:v>
                </c:pt>
                <c:pt idx="24">
                  <c:v>Stuart Findlay</c:v>
                </c:pt>
                <c:pt idx="25">
                  <c:v>David Domgjoni</c:v>
                </c:pt>
              </c:strCache>
            </c:strRef>
          </c:cat>
          <c:val>
            <c:numRef>
              <c:f>'Pivot Tables'!$V$105:$V$130</c:f>
              <c:numCache>
                <c:formatCode>0.00</c:formatCode>
                <c:ptCount val="26"/>
                <c:pt idx="0">
                  <c:v>1.500445632798574</c:v>
                </c:pt>
                <c:pt idx="1">
                  <c:v>1.9256120527306968</c:v>
                </c:pt>
                <c:pt idx="2">
                  <c:v>1.9736040609137058</c:v>
                </c:pt>
                <c:pt idx="3">
                  <c:v>2.233507853403141</c:v>
                </c:pt>
                <c:pt idx="4">
                  <c:v>2.8437047756874092</c:v>
                </c:pt>
                <c:pt idx="5">
                  <c:v>2.9898989898989901</c:v>
                </c:pt>
                <c:pt idx="6">
                  <c:v>3.7075664621676894</c:v>
                </c:pt>
                <c:pt idx="7">
                  <c:v>4.5570175438596499</c:v>
                </c:pt>
                <c:pt idx="8">
                  <c:v>5.106741573033708</c:v>
                </c:pt>
                <c:pt idx="9">
                  <c:v>5.3254437869822491</c:v>
                </c:pt>
                <c:pt idx="10">
                  <c:v>5.5601173020527863</c:v>
                </c:pt>
                <c:pt idx="11">
                  <c:v>5.6419753086419755</c:v>
                </c:pt>
                <c:pt idx="12">
                  <c:v>5.7692307692307692</c:v>
                </c:pt>
                <c:pt idx="13">
                  <c:v>5.8432601880877746</c:v>
                </c:pt>
                <c:pt idx="14">
                  <c:v>6.0309597523219818</c:v>
                </c:pt>
                <c:pt idx="15">
                  <c:v>6.1592356687898082</c:v>
                </c:pt>
                <c:pt idx="16">
                  <c:v>6.3422818791946307</c:v>
                </c:pt>
                <c:pt idx="17">
                  <c:v>6.608996539792388</c:v>
                </c:pt>
                <c:pt idx="18">
                  <c:v>7.2868525896414349</c:v>
                </c:pt>
                <c:pt idx="19">
                  <c:v>7.3404907975460123</c:v>
                </c:pt>
                <c:pt idx="20">
                  <c:v>7.7731092436974789</c:v>
                </c:pt>
                <c:pt idx="21">
                  <c:v>8.0952380952380949</c:v>
                </c:pt>
                <c:pt idx="22">
                  <c:v>8.2941176470588225</c:v>
                </c:pt>
                <c:pt idx="23">
                  <c:v>8.552941176470588</c:v>
                </c:pt>
                <c:pt idx="24">
                  <c:v>9.1674208144796392</c:v>
                </c:pt>
                <c:pt idx="25">
                  <c:v>10.740384615384615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A6-4337-8979-9B9371E51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"/>
        <c:axId val="877108831"/>
        <c:axId val="877109791"/>
      </c:barChart>
      <c:catAx>
        <c:axId val="87710883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77109791"/>
        <c:crosses val="autoZero"/>
        <c:auto val="1"/>
        <c:lblAlgn val="ctr"/>
        <c:lblOffset val="100"/>
        <c:noMultiLvlLbl val="0"/>
      </c:catAx>
      <c:valAx>
        <c:axId val="877109791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8771088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ES">
                <a:solidFill>
                  <a:sysClr val="windowText" lastClr="000000"/>
                </a:solidFill>
              </a:rPr>
              <a:t>Gráfico</a:t>
            </a:r>
            <a:r>
              <a:rPr lang="es-ES" baseline="0">
                <a:solidFill>
                  <a:sysClr val="windowText" lastClr="000000"/>
                </a:solidFill>
              </a:rPr>
              <a:t> de dispersión de Robos y Presiones completadas por cada 90 minutos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0"/>
            <c:marker>
              <c:symbol val="circle"/>
              <c:size val="10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2134-4D9C-B1B1-9196D5B8A7AA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0E212666-9F5F-4054-B1FC-A7402C2D2E96}" type="CELLRANGE">
                      <a:rPr lang="en-US"/>
                      <a:pPr/>
                      <a:t>[CELLRANGE]</a:t>
                    </a:fld>
                    <a:endParaRPr lang="es-E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134-4D9C-B1B1-9196D5B8A7AA}"/>
                </c:ext>
              </c:extLst>
            </c:dLbl>
            <c:dLbl>
              <c:idx val="1"/>
              <c:layout>
                <c:manualLayout>
                  <c:x val="-8.7384246195789536E-2"/>
                  <c:y val="-1.7910719027009112E-2"/>
                </c:manualLayout>
              </c:layout>
              <c:tx>
                <c:rich>
                  <a:bodyPr/>
                  <a:lstStyle/>
                  <a:p>
                    <a:fld id="{983CFB52-35B4-4779-83E6-3893F5D4416A}" type="CELLRANGE">
                      <a:rPr lang="en-US"/>
                      <a:pPr/>
                      <a:t>[CELLRANGE]</a:t>
                    </a:fld>
                    <a:endParaRPr lang="es-E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134-4D9C-B1B1-9196D5B8A7A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4FF512-38AB-4E8F-80D1-8B2DA58BB94D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134-4D9C-B1B1-9196D5B8A7AA}"/>
                </c:ext>
              </c:extLst>
            </c:dLbl>
            <c:dLbl>
              <c:idx val="3"/>
              <c:layout>
                <c:manualLayout>
                  <c:x val="-3.0752264103268014E-2"/>
                  <c:y val="1.984790036998535E-2"/>
                </c:manualLayout>
              </c:layout>
              <c:tx>
                <c:rich>
                  <a:bodyPr/>
                  <a:lstStyle/>
                  <a:p>
                    <a:fld id="{CB7AB995-D3E5-4CA7-81F7-04CEE96C2AC3}" type="CELLRANGE">
                      <a:rPr lang="en-US"/>
                      <a:pPr/>
                      <a:t>[CELLRANGE]</a:t>
                    </a:fld>
                    <a:endParaRPr lang="es-E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134-4D9C-B1B1-9196D5B8A7AA}"/>
                </c:ext>
              </c:extLst>
            </c:dLbl>
            <c:dLbl>
              <c:idx val="4"/>
              <c:layout>
                <c:manualLayout>
                  <c:x val="-1.6614498416565916E-2"/>
                  <c:y val="-2.6119114548094863E-2"/>
                </c:manualLayout>
              </c:layout>
              <c:tx>
                <c:rich>
                  <a:bodyPr/>
                  <a:lstStyle/>
                  <a:p>
                    <a:fld id="{D8FE3BC0-B92A-4EEF-B44D-1F9B0FEFFA96}" type="CELLRANGE">
                      <a:rPr lang="en-US"/>
                      <a:pPr/>
                      <a:t>[CELLRANGE]</a:t>
                    </a:fld>
                    <a:endParaRPr lang="es-E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2134-4D9C-B1B1-9196D5B8A7AA}"/>
                </c:ext>
              </c:extLst>
            </c:dLbl>
            <c:dLbl>
              <c:idx val="5"/>
              <c:layout>
                <c:manualLayout>
                  <c:x val="-2.1862695981376076E-2"/>
                  <c:y val="-2.6119114548094863E-2"/>
                </c:manualLayout>
              </c:layout>
              <c:tx>
                <c:rich>
                  <a:bodyPr/>
                  <a:lstStyle/>
                  <a:p>
                    <a:fld id="{2B1D4EEB-C42D-46C6-A952-CCAB8EC44C8E}" type="CELLRANGE">
                      <a:rPr lang="en-US"/>
                      <a:pPr/>
                      <a:t>[CELLRANGE]</a:t>
                    </a:fld>
                    <a:endParaRPr lang="es-E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2134-4D9C-B1B1-9196D5B8A7AA}"/>
                </c:ext>
              </c:extLst>
            </c:dLbl>
            <c:dLbl>
              <c:idx val="6"/>
              <c:layout>
                <c:manualLayout>
                  <c:x val="-0.13321636285654576"/>
                  <c:y val="-1.298568171435778E-2"/>
                </c:manualLayout>
              </c:layout>
              <c:tx>
                <c:rich>
                  <a:bodyPr/>
                  <a:lstStyle/>
                  <a:p>
                    <a:fld id="{5128F2C1-A43D-4C88-AEA9-1200E10D1EE7}" type="CELLRANGE">
                      <a:rPr lang="en-US"/>
                      <a:pPr/>
                      <a:t>[CELLRANGE]</a:t>
                    </a:fld>
                    <a:endParaRPr lang="es-E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2134-4D9C-B1B1-9196D5B8A7AA}"/>
                </c:ext>
              </c:extLst>
            </c:dLbl>
            <c:dLbl>
              <c:idx val="7"/>
              <c:layout>
                <c:manualLayout>
                  <c:x val="-1.0086246005006378E-3"/>
                  <c:y val="-1.4939279848377274E-3"/>
                </c:manualLayout>
              </c:layout>
              <c:tx>
                <c:rich>
                  <a:bodyPr/>
                  <a:lstStyle/>
                  <a:p>
                    <a:fld id="{3B3EA86C-5335-4D12-B7FF-92B4EACE8D3F}" type="CELLRANGE">
                      <a:rPr lang="en-US"/>
                      <a:pPr/>
                      <a:t>[CELLRANGE]</a:t>
                    </a:fld>
                    <a:endParaRPr lang="es-E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2134-4D9C-B1B1-9196D5B8A7AA}"/>
                </c:ext>
              </c:extLst>
            </c:dLbl>
            <c:dLbl>
              <c:idx val="8"/>
              <c:layout>
                <c:manualLayout>
                  <c:x val="-0.10542926028977326"/>
                  <c:y val="1.1639504848899597E-2"/>
                </c:manualLayout>
              </c:layout>
              <c:tx>
                <c:rich>
                  <a:bodyPr/>
                  <a:lstStyle/>
                  <a:p>
                    <a:fld id="{2001DC34-30D9-4DA8-8790-EF10E227910A}" type="CELLRANGE">
                      <a:rPr lang="en-US"/>
                      <a:pPr/>
                      <a:t>[CELLRANGE]</a:t>
                    </a:fld>
                    <a:endParaRPr lang="es-E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2134-4D9C-B1B1-9196D5B8A7AA}"/>
                </c:ext>
              </c:extLst>
            </c:dLbl>
            <c:dLbl>
              <c:idx val="9"/>
              <c:layout>
                <c:manualLayout>
                  <c:x val="-5.6441471191983894E-3"/>
                  <c:y val="-1.134400261014063E-2"/>
                </c:manualLayout>
              </c:layout>
              <c:tx>
                <c:rich>
                  <a:bodyPr/>
                  <a:lstStyle/>
                  <a:p>
                    <a:fld id="{35456E41-8050-403B-9563-DCAA5B4FE15E}" type="CELLRANGE">
                      <a:rPr lang="en-US"/>
                      <a:pPr/>
                      <a:t>[CELLRANGE]</a:t>
                    </a:fld>
                    <a:endParaRPr lang="es-E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2134-4D9C-B1B1-9196D5B8A7A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3F89BC0-64A8-4EDA-BFBB-BEF009AAC8A6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134-4D9C-B1B1-9196D5B8A7A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733D36F-A90B-4300-A1C0-ABD74C499FF9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134-4D9C-B1B1-9196D5B8A7AA}"/>
                </c:ext>
              </c:extLst>
            </c:dLbl>
            <c:dLbl>
              <c:idx val="12"/>
              <c:layout>
                <c:manualLayout>
                  <c:x val="-9.5450148221667752E-2"/>
                  <c:y val="-1.4627360818574811E-2"/>
                </c:manualLayout>
              </c:layout>
              <c:tx>
                <c:rich>
                  <a:bodyPr/>
                  <a:lstStyle/>
                  <a:p>
                    <a:fld id="{07937831-7325-4ED9-8BB9-DA6C591E8FCC}" type="CELLRANGE">
                      <a:rPr lang="en-US"/>
                      <a:pPr/>
                      <a:t>[CELLRANGE]</a:t>
                    </a:fld>
                    <a:endParaRPr lang="es-E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2134-4D9C-B1B1-9196D5B8A7A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9847A45-A757-4BDD-983E-511FF077750D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134-4D9C-B1B1-9196D5B8A7A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67A6D13-E9C7-4BC3-8A10-139B21EED955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134-4D9C-B1B1-9196D5B8A7AA}"/>
                </c:ext>
              </c:extLst>
            </c:dLbl>
            <c:dLbl>
              <c:idx val="15"/>
              <c:layout>
                <c:manualLayout>
                  <c:x val="-9.7923968219177288E-2"/>
                  <c:y val="1.7894302235965736E-3"/>
                </c:manualLayout>
              </c:layout>
              <c:tx>
                <c:rich>
                  <a:bodyPr/>
                  <a:lstStyle/>
                  <a:p>
                    <a:fld id="{22A82F4C-EB88-4CE1-8ED5-5A4A1EBAA6E8}" type="CELLRANGE">
                      <a:rPr lang="en-US"/>
                      <a:pPr/>
                      <a:t>[CELLRANGE]</a:t>
                    </a:fld>
                    <a:endParaRPr lang="es-E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2134-4D9C-B1B1-9196D5B8A7A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B5A1EF4-DCA9-47E0-ABCB-AFAAF48E4207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134-4D9C-B1B1-9196D5B8A7AA}"/>
                </c:ext>
              </c:extLst>
            </c:dLbl>
            <c:dLbl>
              <c:idx val="17"/>
              <c:layout>
                <c:manualLayout>
                  <c:x val="-0.10371256865856296"/>
                  <c:y val="9.997825744682446E-3"/>
                </c:manualLayout>
              </c:layout>
              <c:tx>
                <c:rich>
                  <a:bodyPr/>
                  <a:lstStyle/>
                  <a:p>
                    <a:fld id="{9EB6ABF2-C685-454C-B3D9-8AE6FBC1D290}" type="CELLRANGE">
                      <a:rPr lang="en-US"/>
                      <a:pPr/>
                      <a:t>[CELLRANGE]</a:t>
                    </a:fld>
                    <a:endParaRPr lang="es-E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2134-4D9C-B1B1-9196D5B8A7A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6EFE3C0-FB4B-4D6A-AE3D-955239E69302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134-4D9C-B1B1-9196D5B8A7A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7F61741-0767-4E93-9CE7-1CCB4F5F27F8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134-4D9C-B1B1-9196D5B8A7AA}"/>
                </c:ext>
              </c:extLst>
            </c:dLbl>
            <c:dLbl>
              <c:idx val="20"/>
              <c:layout>
                <c:manualLayout>
                  <c:x val="-4.152919176774455E-3"/>
                  <c:y val="-1.298568171435778E-2"/>
                </c:manualLayout>
              </c:layout>
              <c:tx>
                <c:rich>
                  <a:bodyPr/>
                  <a:lstStyle/>
                  <a:p>
                    <a:fld id="{47890A84-89DA-4084-82A3-8FBC0184F5EF}" type="CELLRANGE">
                      <a:rPr lang="en-US"/>
                      <a:pPr/>
                      <a:t>[CELLRANGE]</a:t>
                    </a:fld>
                    <a:endParaRPr lang="es-E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2134-4D9C-B1B1-9196D5B8A7AA}"/>
                </c:ext>
              </c:extLst>
            </c:dLbl>
            <c:dLbl>
              <c:idx val="21"/>
              <c:layout>
                <c:manualLayout>
                  <c:x val="-4.8638079169521752E-3"/>
                  <c:y val="1.789430223596694E-3"/>
                </c:manualLayout>
              </c:layout>
              <c:tx>
                <c:rich>
                  <a:bodyPr/>
                  <a:lstStyle/>
                  <a:p>
                    <a:fld id="{73955F40-E3DF-4199-8419-2347B8B24236}" type="CELLRANGE">
                      <a:rPr lang="en-US"/>
                      <a:pPr/>
                      <a:t>[CELLRANGE]</a:t>
                    </a:fld>
                    <a:endParaRPr lang="es-E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6-2134-4D9C-B1B1-9196D5B8A7AA}"/>
                </c:ext>
              </c:extLst>
            </c:dLbl>
            <c:dLbl>
              <c:idx val="22"/>
              <c:layout>
                <c:manualLayout>
                  <c:x val="-6.0047979983703349E-2"/>
                  <c:y val="-2.6119114548094985E-2"/>
                </c:manualLayout>
              </c:layout>
              <c:tx>
                <c:rich>
                  <a:bodyPr/>
                  <a:lstStyle/>
                  <a:p>
                    <a:fld id="{DDA008C0-A553-421A-865F-E2F59183F8FB}" type="CELLRANGE">
                      <a:rPr lang="en-US"/>
                      <a:pPr/>
                      <a:t>[CELLRANGE]</a:t>
                    </a:fld>
                    <a:endParaRPr lang="es-E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2134-4D9C-B1B1-9196D5B8A7A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1E1EDFD-F62A-4650-8DC2-38C2F0016A99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134-4D9C-B1B1-9196D5B8A7A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0D14257-42DF-459A-9DD1-3F52E7397C03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134-4D9C-B1B1-9196D5B8A7A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FD5775D-76BC-48E1-B3B5-8ECAE7D8AA27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134-4D9C-B1B1-9196D5B8A7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'Pivot Tables'!$D$72:$D$97</c:f>
              <c:numCache>
                <c:formatCode>General</c:formatCode>
                <c:ptCount val="26"/>
                <c:pt idx="0">
                  <c:v>4.1100000000000003</c:v>
                </c:pt>
                <c:pt idx="1">
                  <c:v>2.84</c:v>
                </c:pt>
                <c:pt idx="2">
                  <c:v>1.71</c:v>
                </c:pt>
                <c:pt idx="3">
                  <c:v>3.75</c:v>
                </c:pt>
                <c:pt idx="4">
                  <c:v>2.9</c:v>
                </c:pt>
                <c:pt idx="5">
                  <c:v>3.99</c:v>
                </c:pt>
                <c:pt idx="6">
                  <c:v>2.38</c:v>
                </c:pt>
                <c:pt idx="7">
                  <c:v>3.91</c:v>
                </c:pt>
                <c:pt idx="8">
                  <c:v>3.43</c:v>
                </c:pt>
                <c:pt idx="9">
                  <c:v>4.2</c:v>
                </c:pt>
                <c:pt idx="10">
                  <c:v>3.26</c:v>
                </c:pt>
                <c:pt idx="11">
                  <c:v>1.99</c:v>
                </c:pt>
                <c:pt idx="12">
                  <c:v>3.52</c:v>
                </c:pt>
                <c:pt idx="13">
                  <c:v>5.0599999999999996</c:v>
                </c:pt>
                <c:pt idx="14">
                  <c:v>5.0599999999999996</c:v>
                </c:pt>
                <c:pt idx="15">
                  <c:v>2.95</c:v>
                </c:pt>
                <c:pt idx="16">
                  <c:v>2.1</c:v>
                </c:pt>
                <c:pt idx="17">
                  <c:v>3.53</c:v>
                </c:pt>
                <c:pt idx="18">
                  <c:v>3.22</c:v>
                </c:pt>
                <c:pt idx="19">
                  <c:v>3.84</c:v>
                </c:pt>
                <c:pt idx="20">
                  <c:v>4.5199999999999996</c:v>
                </c:pt>
                <c:pt idx="21">
                  <c:v>3.02</c:v>
                </c:pt>
                <c:pt idx="22">
                  <c:v>3.53</c:v>
                </c:pt>
                <c:pt idx="23">
                  <c:v>4.5</c:v>
                </c:pt>
                <c:pt idx="24">
                  <c:v>2.44</c:v>
                </c:pt>
                <c:pt idx="25">
                  <c:v>2.89</c:v>
                </c:pt>
              </c:numCache>
            </c:numRef>
          </c:xVal>
          <c:yVal>
            <c:numRef>
              <c:f>'Pivot Tables'!$E$72:$E$97</c:f>
              <c:numCache>
                <c:formatCode>General</c:formatCode>
                <c:ptCount val="26"/>
                <c:pt idx="0">
                  <c:v>2.23</c:v>
                </c:pt>
                <c:pt idx="1">
                  <c:v>1.76</c:v>
                </c:pt>
                <c:pt idx="2">
                  <c:v>2.78</c:v>
                </c:pt>
                <c:pt idx="3">
                  <c:v>1.58</c:v>
                </c:pt>
                <c:pt idx="4">
                  <c:v>1.76</c:v>
                </c:pt>
                <c:pt idx="5">
                  <c:v>1.61</c:v>
                </c:pt>
                <c:pt idx="6">
                  <c:v>1.67</c:v>
                </c:pt>
                <c:pt idx="7">
                  <c:v>1.4</c:v>
                </c:pt>
                <c:pt idx="8">
                  <c:v>1.52</c:v>
                </c:pt>
                <c:pt idx="9">
                  <c:v>1.57</c:v>
                </c:pt>
                <c:pt idx="10">
                  <c:v>2.31</c:v>
                </c:pt>
                <c:pt idx="11">
                  <c:v>2.4900000000000002</c:v>
                </c:pt>
                <c:pt idx="12">
                  <c:v>1.67</c:v>
                </c:pt>
                <c:pt idx="13">
                  <c:v>1.54</c:v>
                </c:pt>
                <c:pt idx="14">
                  <c:v>2.25</c:v>
                </c:pt>
                <c:pt idx="15">
                  <c:v>1.31</c:v>
                </c:pt>
                <c:pt idx="16">
                  <c:v>1.49</c:v>
                </c:pt>
                <c:pt idx="17">
                  <c:v>1.63</c:v>
                </c:pt>
                <c:pt idx="18">
                  <c:v>2.1</c:v>
                </c:pt>
                <c:pt idx="19">
                  <c:v>2.75</c:v>
                </c:pt>
                <c:pt idx="20">
                  <c:v>1.1399999999999999</c:v>
                </c:pt>
                <c:pt idx="21">
                  <c:v>1.35</c:v>
                </c:pt>
                <c:pt idx="22">
                  <c:v>1.77</c:v>
                </c:pt>
                <c:pt idx="23">
                  <c:v>1.25</c:v>
                </c:pt>
                <c:pt idx="24">
                  <c:v>1.92</c:v>
                </c:pt>
                <c:pt idx="25">
                  <c:v>1.93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'Pivot Tables'!$C$72:$C$97</c15:f>
                <c15:dlblRangeCache>
                  <c:ptCount val="26"/>
                  <c:pt idx="0">
                    <c:v>Álex Pérez</c:v>
                  </c:pt>
                  <c:pt idx="1">
                    <c:v>Attila Szalai</c:v>
                  </c:pt>
                  <c:pt idx="2">
                    <c:v>Damián Canedo</c:v>
                  </c:pt>
                  <c:pt idx="3">
                    <c:v>Dan Happe</c:v>
                  </c:pt>
                  <c:pt idx="4">
                    <c:v>David Carmo</c:v>
                  </c:pt>
                  <c:pt idx="5">
                    <c:v>David Domgjoni</c:v>
                  </c:pt>
                  <c:pt idx="6">
                    <c:v>Dimitrie Deumi Nappi</c:v>
                  </c:pt>
                  <c:pt idx="7">
                    <c:v>Dominic Revan</c:v>
                  </c:pt>
                  <c:pt idx="8">
                    <c:v>Ertuğrul Kurtuluş</c:v>
                  </c:pt>
                  <c:pt idx="9">
                    <c:v>Jorge Herrando</c:v>
                  </c:pt>
                  <c:pt idx="10">
                    <c:v>José Manuel Copete</c:v>
                  </c:pt>
                  <c:pt idx="11">
                    <c:v>Luis Binks</c:v>
                  </c:pt>
                  <c:pt idx="12">
                    <c:v>Luka Lochoshvili</c:v>
                  </c:pt>
                  <c:pt idx="13">
                    <c:v>Mariano Fazio</c:v>
                  </c:pt>
                  <c:pt idx="14">
                    <c:v>Marin Pongračić</c:v>
                  </c:pt>
                  <c:pt idx="15">
                    <c:v>Matthias Ginter</c:v>
                  </c:pt>
                  <c:pt idx="16">
                    <c:v>Maxime Estève</c:v>
                  </c:pt>
                  <c:pt idx="17">
                    <c:v>Nicolás Meriano</c:v>
                  </c:pt>
                  <c:pt idx="18">
                    <c:v>Nicolas Taravel</c:v>
                  </c:pt>
                  <c:pt idx="19">
                    <c:v>Nikos Michelis</c:v>
                  </c:pt>
                  <c:pt idx="20">
                    <c:v>Ousmane Diomandé</c:v>
                  </c:pt>
                  <c:pt idx="21">
                    <c:v>Patric Pfeiffer</c:v>
                  </c:pt>
                  <c:pt idx="22">
                    <c:v>Samuel Biek</c:v>
                  </c:pt>
                  <c:pt idx="23">
                    <c:v>Samuel Gómez</c:v>
                  </c:pt>
                  <c:pt idx="24">
                    <c:v>Strahinja Pavlović</c:v>
                  </c:pt>
                  <c:pt idx="25">
                    <c:v>Stuart Findlay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B-2134-4D9C-B1B1-9196D5B8A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781407"/>
        <c:axId val="542777087"/>
      </c:scatterChart>
      <c:valAx>
        <c:axId val="542781407"/>
        <c:scaling>
          <c:orientation val="minMax"/>
          <c:min val="1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ysClr val="windowText" lastClr="000000"/>
                    </a:solidFill>
                  </a:rPr>
                  <a:t>Robos / 90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42777087"/>
        <c:crosses val="autoZero"/>
        <c:crossBetween val="midCat"/>
      </c:valAx>
      <c:valAx>
        <c:axId val="54277708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ysClr val="windowText" lastClr="000000"/>
                    </a:solidFill>
                  </a:rPr>
                  <a:t>Presiones Comp / 90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42781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Minutos jugados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Tables'!$G$103:$G$128</c:f>
              <c:strCache>
                <c:ptCount val="26"/>
                <c:pt idx="0">
                  <c:v>Marin Pongračić</c:v>
                </c:pt>
                <c:pt idx="1">
                  <c:v>Luis Binks</c:v>
                </c:pt>
                <c:pt idx="2">
                  <c:v>Nicolás Meriano</c:v>
                </c:pt>
                <c:pt idx="3">
                  <c:v>Mariano Fazio</c:v>
                </c:pt>
                <c:pt idx="4">
                  <c:v>Samuel Gómez</c:v>
                </c:pt>
                <c:pt idx="5">
                  <c:v>Jorge Herrando</c:v>
                </c:pt>
                <c:pt idx="6">
                  <c:v>Nicolas Taravel</c:v>
                </c:pt>
                <c:pt idx="7">
                  <c:v>Ertuğrul Kurtuluş</c:v>
                </c:pt>
                <c:pt idx="8">
                  <c:v>David Domgjoni</c:v>
                </c:pt>
                <c:pt idx="9">
                  <c:v>Strahinja Pavlović</c:v>
                </c:pt>
                <c:pt idx="10">
                  <c:v>Nikos Michelis</c:v>
                </c:pt>
                <c:pt idx="11">
                  <c:v>Maxime Estève</c:v>
                </c:pt>
                <c:pt idx="12">
                  <c:v>Ousmane Diomandé</c:v>
                </c:pt>
                <c:pt idx="13">
                  <c:v>Patric Pfeiffer</c:v>
                </c:pt>
                <c:pt idx="14">
                  <c:v>Damián Canedo</c:v>
                </c:pt>
                <c:pt idx="15">
                  <c:v>José Manuel Copete</c:v>
                </c:pt>
                <c:pt idx="16">
                  <c:v>Álex Pérez</c:v>
                </c:pt>
                <c:pt idx="17">
                  <c:v>Dimitrie Deumi Nappi</c:v>
                </c:pt>
                <c:pt idx="18">
                  <c:v>David Carmo</c:v>
                </c:pt>
                <c:pt idx="19">
                  <c:v>Luka Lochoshvili</c:v>
                </c:pt>
                <c:pt idx="20">
                  <c:v>Dominic Revan</c:v>
                </c:pt>
                <c:pt idx="21">
                  <c:v>Attila Szalai</c:v>
                </c:pt>
                <c:pt idx="22">
                  <c:v>Matthias Ginter</c:v>
                </c:pt>
                <c:pt idx="23">
                  <c:v>Stuart Findlay</c:v>
                </c:pt>
                <c:pt idx="24">
                  <c:v>Samuel Biek</c:v>
                </c:pt>
                <c:pt idx="25">
                  <c:v>Dan Happe</c:v>
                </c:pt>
              </c:strCache>
            </c:strRef>
          </c:cat>
          <c:val>
            <c:numRef>
              <c:f>'Pivot Tables'!$H$103:$H$128</c:f>
              <c:numCache>
                <c:formatCode>General</c:formatCode>
                <c:ptCount val="26"/>
                <c:pt idx="0">
                  <c:v>160</c:v>
                </c:pt>
                <c:pt idx="1">
                  <c:v>181</c:v>
                </c:pt>
                <c:pt idx="2">
                  <c:v>331</c:v>
                </c:pt>
                <c:pt idx="3">
                  <c:v>409</c:v>
                </c:pt>
                <c:pt idx="4">
                  <c:v>720</c:v>
                </c:pt>
                <c:pt idx="5">
                  <c:v>1264</c:v>
                </c:pt>
                <c:pt idx="6">
                  <c:v>1285</c:v>
                </c:pt>
                <c:pt idx="7">
                  <c:v>1363</c:v>
                </c:pt>
                <c:pt idx="8">
                  <c:v>1511</c:v>
                </c:pt>
                <c:pt idx="9">
                  <c:v>1550</c:v>
                </c:pt>
                <c:pt idx="10">
                  <c:v>1736</c:v>
                </c:pt>
                <c:pt idx="11">
                  <c:v>1756</c:v>
                </c:pt>
                <c:pt idx="12">
                  <c:v>1893</c:v>
                </c:pt>
                <c:pt idx="13">
                  <c:v>1939</c:v>
                </c:pt>
                <c:pt idx="14">
                  <c:v>2005</c:v>
                </c:pt>
                <c:pt idx="15">
                  <c:v>2068</c:v>
                </c:pt>
                <c:pt idx="16">
                  <c:v>2101</c:v>
                </c:pt>
                <c:pt idx="17">
                  <c:v>2160</c:v>
                </c:pt>
                <c:pt idx="18">
                  <c:v>2358</c:v>
                </c:pt>
                <c:pt idx="19">
                  <c:v>2376</c:v>
                </c:pt>
                <c:pt idx="20">
                  <c:v>2579</c:v>
                </c:pt>
                <c:pt idx="21">
                  <c:v>2663</c:v>
                </c:pt>
                <c:pt idx="22">
                  <c:v>2750</c:v>
                </c:pt>
                <c:pt idx="23">
                  <c:v>3176</c:v>
                </c:pt>
                <c:pt idx="24">
                  <c:v>3209</c:v>
                </c:pt>
                <c:pt idx="25">
                  <c:v>3243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75-4300-98D5-40B7074FE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50123055"/>
        <c:axId val="250135055"/>
      </c:barChart>
      <c:catAx>
        <c:axId val="2501230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50135055"/>
        <c:crosses val="autoZero"/>
        <c:auto val="1"/>
        <c:lblAlgn val="ctr"/>
        <c:lblOffset val="100"/>
        <c:noMultiLvlLbl val="0"/>
      </c:catAx>
      <c:valAx>
        <c:axId val="25013505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50123055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[Dashboard_Left_CB_ZGZ.xlsm]Pivot Tables!TablaDinámica1</c:name>
    <c:fmtId val="4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'Pivot Tables'!$D$3</c:f>
              <c:strCache>
                <c:ptCount val="1"/>
                <c:pt idx="0">
                  <c:v>% Pases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Tables'!$B$4:$B$29</c:f>
              <c:strCache>
                <c:ptCount val="26"/>
                <c:pt idx="0">
                  <c:v>Nikos Michelis</c:v>
                </c:pt>
                <c:pt idx="1">
                  <c:v>Álex Pérez</c:v>
                </c:pt>
                <c:pt idx="2">
                  <c:v>Ousmane Diomandé</c:v>
                </c:pt>
                <c:pt idx="3">
                  <c:v>Matthias Ginter</c:v>
                </c:pt>
                <c:pt idx="4">
                  <c:v>David Carmo</c:v>
                </c:pt>
                <c:pt idx="5">
                  <c:v>Luis Binks</c:v>
                </c:pt>
                <c:pt idx="6">
                  <c:v>Maxime Estève</c:v>
                </c:pt>
                <c:pt idx="7">
                  <c:v>Attila Szalai</c:v>
                </c:pt>
                <c:pt idx="8">
                  <c:v>Marin Pongračić</c:v>
                </c:pt>
                <c:pt idx="9">
                  <c:v>Patric Pfeiffer</c:v>
                </c:pt>
                <c:pt idx="10">
                  <c:v>Luka Lochoshvili</c:v>
                </c:pt>
                <c:pt idx="11">
                  <c:v>Strahinja Pavlović</c:v>
                </c:pt>
                <c:pt idx="12">
                  <c:v>David Domgjoni</c:v>
                </c:pt>
                <c:pt idx="13">
                  <c:v>Dominic Revan</c:v>
                </c:pt>
                <c:pt idx="14">
                  <c:v>Ertuğrul Kurtuluş</c:v>
                </c:pt>
                <c:pt idx="15">
                  <c:v>Stuart Findlay</c:v>
                </c:pt>
                <c:pt idx="16">
                  <c:v>Nicolás Meriano</c:v>
                </c:pt>
                <c:pt idx="17">
                  <c:v>Dan Happe</c:v>
                </c:pt>
                <c:pt idx="18">
                  <c:v>Samuel Gómez</c:v>
                </c:pt>
                <c:pt idx="19">
                  <c:v>José Manuel Copete</c:v>
                </c:pt>
                <c:pt idx="20">
                  <c:v>Nicolas Taravel</c:v>
                </c:pt>
                <c:pt idx="21">
                  <c:v>Samuel Biek</c:v>
                </c:pt>
                <c:pt idx="22">
                  <c:v>Damián Canedo</c:v>
                </c:pt>
                <c:pt idx="23">
                  <c:v>Dimitrie Deumi Nappi</c:v>
                </c:pt>
                <c:pt idx="24">
                  <c:v>Jorge Herrando</c:v>
                </c:pt>
                <c:pt idx="25">
                  <c:v>Mariano Fazio</c:v>
                </c:pt>
              </c:strCache>
            </c:strRef>
          </c:cat>
          <c:val>
            <c:numRef>
              <c:f>'Pivot Tables'!$D$4:$D$29</c:f>
              <c:numCache>
                <c:formatCode>0%</c:formatCode>
                <c:ptCount val="26"/>
                <c:pt idx="0">
                  <c:v>0.93</c:v>
                </c:pt>
                <c:pt idx="1">
                  <c:v>0.92</c:v>
                </c:pt>
                <c:pt idx="2">
                  <c:v>0.89</c:v>
                </c:pt>
                <c:pt idx="3">
                  <c:v>0.9</c:v>
                </c:pt>
                <c:pt idx="4">
                  <c:v>0.88</c:v>
                </c:pt>
                <c:pt idx="5">
                  <c:v>0.95</c:v>
                </c:pt>
                <c:pt idx="6">
                  <c:v>0.88</c:v>
                </c:pt>
                <c:pt idx="7">
                  <c:v>0.88</c:v>
                </c:pt>
                <c:pt idx="8">
                  <c:v>0.95</c:v>
                </c:pt>
                <c:pt idx="9">
                  <c:v>0.89</c:v>
                </c:pt>
                <c:pt idx="10">
                  <c:v>0.91</c:v>
                </c:pt>
                <c:pt idx="11">
                  <c:v>0.9</c:v>
                </c:pt>
                <c:pt idx="12">
                  <c:v>0.83</c:v>
                </c:pt>
                <c:pt idx="13">
                  <c:v>0.78</c:v>
                </c:pt>
                <c:pt idx="14">
                  <c:v>0.8</c:v>
                </c:pt>
                <c:pt idx="15">
                  <c:v>0.82</c:v>
                </c:pt>
                <c:pt idx="16">
                  <c:v>0.82</c:v>
                </c:pt>
                <c:pt idx="17">
                  <c:v>0.79</c:v>
                </c:pt>
                <c:pt idx="18">
                  <c:v>0.73</c:v>
                </c:pt>
                <c:pt idx="19">
                  <c:v>0.85</c:v>
                </c:pt>
                <c:pt idx="20">
                  <c:v>0.66</c:v>
                </c:pt>
                <c:pt idx="21">
                  <c:v>0.67</c:v>
                </c:pt>
                <c:pt idx="22">
                  <c:v>0.8</c:v>
                </c:pt>
                <c:pt idx="23">
                  <c:v>0.78</c:v>
                </c:pt>
                <c:pt idx="24">
                  <c:v>0.66</c:v>
                </c:pt>
                <c:pt idx="25">
                  <c:v>0.64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7A-46FB-B802-554357B81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3824479"/>
        <c:axId val="1323777359"/>
      </c:barChart>
      <c:lineChart>
        <c:grouping val="standard"/>
        <c:varyColors val="0"/>
        <c:ser>
          <c:idx val="0"/>
          <c:order val="0"/>
          <c:tx>
            <c:strRef>
              <c:f>'Pivot Tables'!$C$3</c:f>
              <c:strCache>
                <c:ptCount val="1"/>
                <c:pt idx="0">
                  <c:v> Pases Comp/90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'Pivot Tables'!$B$4:$B$29</c:f>
              <c:strCache>
                <c:ptCount val="26"/>
                <c:pt idx="0">
                  <c:v>Nikos Michelis</c:v>
                </c:pt>
                <c:pt idx="1">
                  <c:v>Álex Pérez</c:v>
                </c:pt>
                <c:pt idx="2">
                  <c:v>Ousmane Diomandé</c:v>
                </c:pt>
                <c:pt idx="3">
                  <c:v>Matthias Ginter</c:v>
                </c:pt>
                <c:pt idx="4">
                  <c:v>David Carmo</c:v>
                </c:pt>
                <c:pt idx="5">
                  <c:v>Luis Binks</c:v>
                </c:pt>
                <c:pt idx="6">
                  <c:v>Maxime Estève</c:v>
                </c:pt>
                <c:pt idx="7">
                  <c:v>Attila Szalai</c:v>
                </c:pt>
                <c:pt idx="8">
                  <c:v>Marin Pongračić</c:v>
                </c:pt>
                <c:pt idx="9">
                  <c:v>Patric Pfeiffer</c:v>
                </c:pt>
                <c:pt idx="10">
                  <c:v>Luka Lochoshvili</c:v>
                </c:pt>
                <c:pt idx="11">
                  <c:v>Strahinja Pavlović</c:v>
                </c:pt>
                <c:pt idx="12">
                  <c:v>David Domgjoni</c:v>
                </c:pt>
                <c:pt idx="13">
                  <c:v>Dominic Revan</c:v>
                </c:pt>
                <c:pt idx="14">
                  <c:v>Ertuğrul Kurtuluş</c:v>
                </c:pt>
                <c:pt idx="15">
                  <c:v>Stuart Findlay</c:v>
                </c:pt>
                <c:pt idx="16">
                  <c:v>Nicolás Meriano</c:v>
                </c:pt>
                <c:pt idx="17">
                  <c:v>Dan Happe</c:v>
                </c:pt>
                <c:pt idx="18">
                  <c:v>Samuel Gómez</c:v>
                </c:pt>
                <c:pt idx="19">
                  <c:v>José Manuel Copete</c:v>
                </c:pt>
                <c:pt idx="20">
                  <c:v>Nicolas Taravel</c:v>
                </c:pt>
                <c:pt idx="21">
                  <c:v>Samuel Biek</c:v>
                </c:pt>
                <c:pt idx="22">
                  <c:v>Damián Canedo</c:v>
                </c:pt>
                <c:pt idx="23">
                  <c:v>Dimitrie Deumi Nappi</c:v>
                </c:pt>
                <c:pt idx="24">
                  <c:v>Jorge Herrando</c:v>
                </c:pt>
                <c:pt idx="25">
                  <c:v>Mariano Fazio</c:v>
                </c:pt>
              </c:strCache>
            </c:strRef>
          </c:cat>
          <c:val>
            <c:numRef>
              <c:f>'Pivot Tables'!$C$4:$C$29</c:f>
              <c:numCache>
                <c:formatCode>General</c:formatCode>
                <c:ptCount val="26"/>
                <c:pt idx="0">
                  <c:v>94.2</c:v>
                </c:pt>
                <c:pt idx="1">
                  <c:v>84.09</c:v>
                </c:pt>
                <c:pt idx="2">
                  <c:v>73.5</c:v>
                </c:pt>
                <c:pt idx="3">
                  <c:v>68.33</c:v>
                </c:pt>
                <c:pt idx="4">
                  <c:v>67.14</c:v>
                </c:pt>
                <c:pt idx="5">
                  <c:v>61.66</c:v>
                </c:pt>
                <c:pt idx="6">
                  <c:v>60.38</c:v>
                </c:pt>
                <c:pt idx="7">
                  <c:v>59.65</c:v>
                </c:pt>
                <c:pt idx="8">
                  <c:v>59.62</c:v>
                </c:pt>
                <c:pt idx="9">
                  <c:v>58.99</c:v>
                </c:pt>
                <c:pt idx="10">
                  <c:v>58.98</c:v>
                </c:pt>
                <c:pt idx="11">
                  <c:v>57.43</c:v>
                </c:pt>
                <c:pt idx="12">
                  <c:v>54.08</c:v>
                </c:pt>
                <c:pt idx="13">
                  <c:v>52.49</c:v>
                </c:pt>
                <c:pt idx="14">
                  <c:v>52.1</c:v>
                </c:pt>
                <c:pt idx="15">
                  <c:v>51.66</c:v>
                </c:pt>
                <c:pt idx="16">
                  <c:v>51.12</c:v>
                </c:pt>
                <c:pt idx="17">
                  <c:v>51.04</c:v>
                </c:pt>
                <c:pt idx="18">
                  <c:v>47.38</c:v>
                </c:pt>
                <c:pt idx="19">
                  <c:v>44</c:v>
                </c:pt>
                <c:pt idx="20">
                  <c:v>42.72</c:v>
                </c:pt>
                <c:pt idx="21">
                  <c:v>42.32</c:v>
                </c:pt>
                <c:pt idx="22">
                  <c:v>42.01</c:v>
                </c:pt>
                <c:pt idx="23">
                  <c:v>41.17</c:v>
                </c:pt>
                <c:pt idx="24">
                  <c:v>40.159999999999997</c:v>
                </c:pt>
                <c:pt idx="25">
                  <c:v>38.950000000000003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7A-46FB-B802-554357B81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marker val="1"/>
        <c:smooth val="0"/>
        <c:axId val="1335587343"/>
        <c:axId val="1335583503"/>
      </c:lineChart>
      <c:catAx>
        <c:axId val="1335587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35583503"/>
        <c:crosses val="autoZero"/>
        <c:auto val="1"/>
        <c:lblAlgn val="ctr"/>
        <c:lblOffset val="100"/>
        <c:noMultiLvlLbl val="0"/>
      </c:catAx>
      <c:valAx>
        <c:axId val="13355835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35587343"/>
        <c:crosses val="autoZero"/>
        <c:crossBetween val="between"/>
      </c:valAx>
      <c:valAx>
        <c:axId val="1323777359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23824479"/>
        <c:crosses val="max"/>
        <c:crossBetween val="between"/>
      </c:valAx>
      <c:catAx>
        <c:axId val="13238244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2377735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[Dashboard_Left_CB_ZGZ.xlsm]Pivot Tables!TablaDinámica3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Cabezazos</a:t>
            </a:r>
            <a:r>
              <a:rPr lang="es-ES" baseline="0"/>
              <a:t> ganados /90min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>
              <a:lumMod val="40000"/>
              <a:lumOff val="60000"/>
            </a:schemeClr>
          </a:solidFill>
          <a:ln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lumMod val="40000"/>
              <a:lumOff val="60000"/>
            </a:schemeClr>
          </a:solidFill>
          <a:ln>
            <a:solidFill>
              <a:schemeClr val="accent1"/>
            </a:solidFill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Tables'!$M$3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accent1"/>
              </a:solidFill>
            </a:ln>
            <a:effectLst/>
          </c:spPr>
          <c:invertIfNegative val="0"/>
          <c:dPt>
            <c:idx val="2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E0D-4231-9D27-3DA5A58CB25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Tables'!$L$4:$L$29</c:f>
              <c:strCache>
                <c:ptCount val="26"/>
                <c:pt idx="0">
                  <c:v>Ousmane Diomandé</c:v>
                </c:pt>
                <c:pt idx="1">
                  <c:v>Patric Pfeiffer</c:v>
                </c:pt>
                <c:pt idx="2">
                  <c:v>Dimitrie Deumi Nappi</c:v>
                </c:pt>
                <c:pt idx="3">
                  <c:v>Strahinja Pavlović</c:v>
                </c:pt>
                <c:pt idx="4">
                  <c:v>Marin Pongračić</c:v>
                </c:pt>
                <c:pt idx="5">
                  <c:v>Matthias Ginter</c:v>
                </c:pt>
                <c:pt idx="6">
                  <c:v>José Manuel Copete</c:v>
                </c:pt>
                <c:pt idx="7">
                  <c:v>Nikos Michelis</c:v>
                </c:pt>
                <c:pt idx="8">
                  <c:v>David Carmo</c:v>
                </c:pt>
                <c:pt idx="9">
                  <c:v>David Domgjoni</c:v>
                </c:pt>
                <c:pt idx="10">
                  <c:v>Maxime Estève</c:v>
                </c:pt>
                <c:pt idx="11">
                  <c:v>Damián Canedo</c:v>
                </c:pt>
                <c:pt idx="12">
                  <c:v>Attila Szalai</c:v>
                </c:pt>
                <c:pt idx="13">
                  <c:v>Stuart Findlay</c:v>
                </c:pt>
                <c:pt idx="14">
                  <c:v>Luis Binks</c:v>
                </c:pt>
                <c:pt idx="15">
                  <c:v>Álex Pérez</c:v>
                </c:pt>
                <c:pt idx="16">
                  <c:v>Nicolás Meriano</c:v>
                </c:pt>
                <c:pt idx="17">
                  <c:v>Luka Lochoshvili</c:v>
                </c:pt>
                <c:pt idx="18">
                  <c:v>Dan Happe</c:v>
                </c:pt>
                <c:pt idx="19">
                  <c:v>Jorge Herrando</c:v>
                </c:pt>
                <c:pt idx="20">
                  <c:v>Ertuğrul Kurtuluş</c:v>
                </c:pt>
                <c:pt idx="21">
                  <c:v>Dominic Revan</c:v>
                </c:pt>
                <c:pt idx="22">
                  <c:v>Nicolas Taravel</c:v>
                </c:pt>
                <c:pt idx="23">
                  <c:v>Samuel Biek</c:v>
                </c:pt>
                <c:pt idx="24">
                  <c:v>Mariano Fazio</c:v>
                </c:pt>
                <c:pt idx="25">
                  <c:v>Samuel Gómez</c:v>
                </c:pt>
              </c:strCache>
            </c:strRef>
          </c:cat>
          <c:val>
            <c:numRef>
              <c:f>'Pivot Tables'!$M$4:$M$29</c:f>
              <c:numCache>
                <c:formatCode>General</c:formatCode>
                <c:ptCount val="26"/>
                <c:pt idx="0">
                  <c:v>6.09</c:v>
                </c:pt>
                <c:pt idx="1">
                  <c:v>6.54</c:v>
                </c:pt>
                <c:pt idx="2">
                  <c:v>6.62</c:v>
                </c:pt>
                <c:pt idx="3">
                  <c:v>6.68</c:v>
                </c:pt>
                <c:pt idx="4">
                  <c:v>6.75</c:v>
                </c:pt>
                <c:pt idx="5">
                  <c:v>6.94</c:v>
                </c:pt>
                <c:pt idx="6">
                  <c:v>7.05</c:v>
                </c:pt>
                <c:pt idx="7">
                  <c:v>7.1</c:v>
                </c:pt>
                <c:pt idx="8">
                  <c:v>7.14</c:v>
                </c:pt>
                <c:pt idx="9">
                  <c:v>7.15</c:v>
                </c:pt>
                <c:pt idx="10">
                  <c:v>7.38</c:v>
                </c:pt>
                <c:pt idx="11">
                  <c:v>7.41</c:v>
                </c:pt>
                <c:pt idx="12">
                  <c:v>7.44</c:v>
                </c:pt>
                <c:pt idx="13">
                  <c:v>7.57</c:v>
                </c:pt>
                <c:pt idx="14">
                  <c:v>7.96</c:v>
                </c:pt>
                <c:pt idx="15">
                  <c:v>8.44</c:v>
                </c:pt>
                <c:pt idx="16">
                  <c:v>8.9700000000000006</c:v>
                </c:pt>
                <c:pt idx="17">
                  <c:v>9.02</c:v>
                </c:pt>
                <c:pt idx="18">
                  <c:v>9.35</c:v>
                </c:pt>
                <c:pt idx="19">
                  <c:v>11.18</c:v>
                </c:pt>
                <c:pt idx="20">
                  <c:v>11.56</c:v>
                </c:pt>
                <c:pt idx="21">
                  <c:v>11.66</c:v>
                </c:pt>
                <c:pt idx="22">
                  <c:v>11.7</c:v>
                </c:pt>
                <c:pt idx="23">
                  <c:v>12.28</c:v>
                </c:pt>
                <c:pt idx="24">
                  <c:v>12.54</c:v>
                </c:pt>
                <c:pt idx="25">
                  <c:v>13.88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65-445B-9929-7E02189BA3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1506763007"/>
        <c:axId val="1506763487"/>
      </c:barChart>
      <c:catAx>
        <c:axId val="150676300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06763487"/>
        <c:crosses val="autoZero"/>
        <c:auto val="1"/>
        <c:lblAlgn val="ctr"/>
        <c:lblOffset val="100"/>
        <c:noMultiLvlLbl val="0"/>
      </c:catAx>
      <c:valAx>
        <c:axId val="150676348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676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[Dashboard_Left_CB_ZGZ.xlsm]Pivot Tables!TablaDinámica7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Tables'!$M$34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Tables'!$L$35:$L$60</c:f>
              <c:strCache>
                <c:ptCount val="26"/>
                <c:pt idx="0">
                  <c:v>Jorge Herrando</c:v>
                </c:pt>
                <c:pt idx="1">
                  <c:v>Marin Pongračić</c:v>
                </c:pt>
                <c:pt idx="2">
                  <c:v>Stuart Findlay</c:v>
                </c:pt>
                <c:pt idx="3">
                  <c:v>Luis Binks</c:v>
                </c:pt>
                <c:pt idx="4">
                  <c:v>Damián Canedo</c:v>
                </c:pt>
                <c:pt idx="5">
                  <c:v>Dimitrie Deumi Nappi</c:v>
                </c:pt>
                <c:pt idx="6">
                  <c:v>Strahinja Pavlović</c:v>
                </c:pt>
                <c:pt idx="7">
                  <c:v>David Carmo</c:v>
                </c:pt>
                <c:pt idx="8">
                  <c:v>Patric Pfeiffer</c:v>
                </c:pt>
                <c:pt idx="9">
                  <c:v>Ousmane Diomandé</c:v>
                </c:pt>
                <c:pt idx="10">
                  <c:v>Matthias Ginter</c:v>
                </c:pt>
                <c:pt idx="11">
                  <c:v>Dominic Revan</c:v>
                </c:pt>
                <c:pt idx="12">
                  <c:v>Maxime Estève</c:v>
                </c:pt>
                <c:pt idx="13">
                  <c:v>Attila Szalai</c:v>
                </c:pt>
                <c:pt idx="14">
                  <c:v>David Domgjoni</c:v>
                </c:pt>
                <c:pt idx="15">
                  <c:v>Luka Lochoshvili</c:v>
                </c:pt>
                <c:pt idx="16">
                  <c:v>José Manuel Copete</c:v>
                </c:pt>
                <c:pt idx="17">
                  <c:v>Nicolas Taravel</c:v>
                </c:pt>
                <c:pt idx="18">
                  <c:v>Ertuğrul Kurtuluş</c:v>
                </c:pt>
                <c:pt idx="19">
                  <c:v>Álex Pérez</c:v>
                </c:pt>
                <c:pt idx="20">
                  <c:v>Samuel Biek</c:v>
                </c:pt>
                <c:pt idx="21">
                  <c:v>Samuel Gómez</c:v>
                </c:pt>
                <c:pt idx="22">
                  <c:v>Dan Happe</c:v>
                </c:pt>
                <c:pt idx="23">
                  <c:v>Nikos Michelis</c:v>
                </c:pt>
                <c:pt idx="24">
                  <c:v>Nicolás Meriano</c:v>
                </c:pt>
                <c:pt idx="25">
                  <c:v>Mariano Fazio</c:v>
                </c:pt>
              </c:strCache>
            </c:strRef>
          </c:cat>
          <c:val>
            <c:numRef>
              <c:f>'Pivot Tables'!$M$35:$M$60</c:f>
              <c:numCache>
                <c:formatCode>0%</c:formatCode>
                <c:ptCount val="26"/>
                <c:pt idx="0">
                  <c:v>0.75</c:v>
                </c:pt>
                <c:pt idx="1">
                  <c:v>0.75</c:v>
                </c:pt>
                <c:pt idx="2">
                  <c:v>0.76</c:v>
                </c:pt>
                <c:pt idx="3">
                  <c:v>0.76</c:v>
                </c:pt>
                <c:pt idx="4">
                  <c:v>0.76</c:v>
                </c:pt>
                <c:pt idx="5">
                  <c:v>0.77</c:v>
                </c:pt>
                <c:pt idx="6">
                  <c:v>0.77</c:v>
                </c:pt>
                <c:pt idx="7">
                  <c:v>0.77</c:v>
                </c:pt>
                <c:pt idx="8">
                  <c:v>0.77</c:v>
                </c:pt>
                <c:pt idx="9">
                  <c:v>0.77</c:v>
                </c:pt>
                <c:pt idx="10">
                  <c:v>0.78</c:v>
                </c:pt>
                <c:pt idx="11">
                  <c:v>0.78</c:v>
                </c:pt>
                <c:pt idx="12">
                  <c:v>0.78</c:v>
                </c:pt>
                <c:pt idx="13">
                  <c:v>0.78</c:v>
                </c:pt>
                <c:pt idx="14">
                  <c:v>0.79</c:v>
                </c:pt>
                <c:pt idx="15">
                  <c:v>0.81</c:v>
                </c:pt>
                <c:pt idx="16">
                  <c:v>0.81</c:v>
                </c:pt>
                <c:pt idx="17">
                  <c:v>0.82</c:v>
                </c:pt>
                <c:pt idx="18">
                  <c:v>0.82</c:v>
                </c:pt>
                <c:pt idx="19">
                  <c:v>0.83</c:v>
                </c:pt>
                <c:pt idx="20">
                  <c:v>0.83</c:v>
                </c:pt>
                <c:pt idx="21">
                  <c:v>0.83</c:v>
                </c:pt>
                <c:pt idx="22">
                  <c:v>0.83</c:v>
                </c:pt>
                <c:pt idx="23">
                  <c:v>0.83</c:v>
                </c:pt>
                <c:pt idx="24">
                  <c:v>0.87</c:v>
                </c:pt>
                <c:pt idx="25">
                  <c:v>0.88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8E-48F0-AE52-55F4EC75E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865637631"/>
        <c:axId val="865635711"/>
      </c:barChart>
      <c:catAx>
        <c:axId val="8656376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65635711"/>
        <c:crosses val="autoZero"/>
        <c:auto val="1"/>
        <c:lblAlgn val="ctr"/>
        <c:lblOffset val="100"/>
        <c:noMultiLvlLbl val="0"/>
      </c:catAx>
      <c:valAx>
        <c:axId val="865635711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656376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[Dashboard_Left_CB_ZGZ.xlsm]Pivot Tables!TablaDinámica8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Tables'!$V$75</c:f>
              <c:strCache>
                <c:ptCount val="1"/>
                <c:pt idx="0">
                  <c:v>Suma de Bal aér/90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'Pivot Tables'!$U$76:$U$101</c:f>
              <c:strCache>
                <c:ptCount val="26"/>
                <c:pt idx="0">
                  <c:v>Strahinja Pavlović</c:v>
                </c:pt>
                <c:pt idx="1">
                  <c:v>Attila Szalai</c:v>
                </c:pt>
                <c:pt idx="2">
                  <c:v>Álex Pérez</c:v>
                </c:pt>
                <c:pt idx="3">
                  <c:v>Damián Canedo</c:v>
                </c:pt>
                <c:pt idx="4">
                  <c:v>Dan Happe</c:v>
                </c:pt>
                <c:pt idx="5">
                  <c:v>David Carmo</c:v>
                </c:pt>
                <c:pt idx="6">
                  <c:v>David Domgjoni</c:v>
                </c:pt>
                <c:pt idx="7">
                  <c:v>Dimitrie Deumi Nappi</c:v>
                </c:pt>
                <c:pt idx="8">
                  <c:v>Dominic Revan</c:v>
                </c:pt>
                <c:pt idx="9">
                  <c:v>Ertuğrul Kurtuluş</c:v>
                </c:pt>
                <c:pt idx="10">
                  <c:v>Jorge Herrando</c:v>
                </c:pt>
                <c:pt idx="11">
                  <c:v>José Manuel Copete</c:v>
                </c:pt>
                <c:pt idx="12">
                  <c:v>Luis Binks</c:v>
                </c:pt>
                <c:pt idx="13">
                  <c:v>Luka Lochoshvili</c:v>
                </c:pt>
                <c:pt idx="14">
                  <c:v>Mariano Fazio</c:v>
                </c:pt>
                <c:pt idx="15">
                  <c:v>Marin Pongračić</c:v>
                </c:pt>
                <c:pt idx="16">
                  <c:v>Matthias Ginter</c:v>
                </c:pt>
                <c:pt idx="17">
                  <c:v>Maxime Estève</c:v>
                </c:pt>
                <c:pt idx="18">
                  <c:v>Nicolás Meriano</c:v>
                </c:pt>
                <c:pt idx="19">
                  <c:v>Nicolas Taravel</c:v>
                </c:pt>
                <c:pt idx="20">
                  <c:v>Nikos Michelis</c:v>
                </c:pt>
                <c:pt idx="21">
                  <c:v>Ousmane Diomandé</c:v>
                </c:pt>
                <c:pt idx="22">
                  <c:v>Patric Pfeiffer</c:v>
                </c:pt>
                <c:pt idx="23">
                  <c:v>Samuel Biek</c:v>
                </c:pt>
                <c:pt idx="24">
                  <c:v>Samuel Gómez</c:v>
                </c:pt>
                <c:pt idx="25">
                  <c:v>Stuart Findlay</c:v>
                </c:pt>
              </c:strCache>
            </c:strRef>
          </c:cat>
          <c:val>
            <c:numRef>
              <c:f>'Pivot Tables'!$V$76:$V$101</c:f>
              <c:numCache>
                <c:formatCode>General</c:formatCode>
                <c:ptCount val="26"/>
                <c:pt idx="0">
                  <c:v>8.65</c:v>
                </c:pt>
                <c:pt idx="1">
                  <c:v>9.5</c:v>
                </c:pt>
                <c:pt idx="2">
                  <c:v>10.11</c:v>
                </c:pt>
                <c:pt idx="3">
                  <c:v>9.74</c:v>
                </c:pt>
                <c:pt idx="4">
                  <c:v>11.3</c:v>
                </c:pt>
                <c:pt idx="5">
                  <c:v>9.24</c:v>
                </c:pt>
                <c:pt idx="6">
                  <c:v>8.99</c:v>
                </c:pt>
                <c:pt idx="7">
                  <c:v>8.58</c:v>
                </c:pt>
                <c:pt idx="8">
                  <c:v>14.9</c:v>
                </c:pt>
                <c:pt idx="9">
                  <c:v>14.06</c:v>
                </c:pt>
                <c:pt idx="10">
                  <c:v>14.88</c:v>
                </c:pt>
                <c:pt idx="11">
                  <c:v>8.75</c:v>
                </c:pt>
                <c:pt idx="12">
                  <c:v>10.44</c:v>
                </c:pt>
                <c:pt idx="13">
                  <c:v>11.17</c:v>
                </c:pt>
                <c:pt idx="14">
                  <c:v>14.3</c:v>
                </c:pt>
                <c:pt idx="15">
                  <c:v>9</c:v>
                </c:pt>
                <c:pt idx="16">
                  <c:v>8.9</c:v>
                </c:pt>
                <c:pt idx="17">
                  <c:v>9.48</c:v>
                </c:pt>
                <c:pt idx="18">
                  <c:v>10.33</c:v>
                </c:pt>
                <c:pt idx="19">
                  <c:v>14.22</c:v>
                </c:pt>
                <c:pt idx="20">
                  <c:v>8.61</c:v>
                </c:pt>
                <c:pt idx="21">
                  <c:v>7.94</c:v>
                </c:pt>
                <c:pt idx="22">
                  <c:v>8.49</c:v>
                </c:pt>
                <c:pt idx="23">
                  <c:v>14.81</c:v>
                </c:pt>
                <c:pt idx="24">
                  <c:v>16.75</c:v>
                </c:pt>
                <c:pt idx="25">
                  <c:v>9.9499999999999993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66-42DD-91E3-5FBDF3ABC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0649791"/>
        <c:axId val="1170656991"/>
      </c:lineChart>
      <c:lineChart>
        <c:grouping val="standard"/>
        <c:varyColors val="0"/>
        <c:ser>
          <c:idx val="1"/>
          <c:order val="1"/>
          <c:tx>
            <c:strRef>
              <c:f>'Pivot Tables'!$W$75</c:f>
              <c:strCache>
                <c:ptCount val="1"/>
                <c:pt idx="0">
                  <c:v>Suma de Cab Clv/90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'Pivot Tables'!$U$76:$U$101</c:f>
              <c:strCache>
                <c:ptCount val="26"/>
                <c:pt idx="0">
                  <c:v>Strahinja Pavlović</c:v>
                </c:pt>
                <c:pt idx="1">
                  <c:v>Attila Szalai</c:v>
                </c:pt>
                <c:pt idx="2">
                  <c:v>Álex Pérez</c:v>
                </c:pt>
                <c:pt idx="3">
                  <c:v>Damián Canedo</c:v>
                </c:pt>
                <c:pt idx="4">
                  <c:v>Dan Happe</c:v>
                </c:pt>
                <c:pt idx="5">
                  <c:v>David Carmo</c:v>
                </c:pt>
                <c:pt idx="6">
                  <c:v>David Domgjoni</c:v>
                </c:pt>
                <c:pt idx="7">
                  <c:v>Dimitrie Deumi Nappi</c:v>
                </c:pt>
                <c:pt idx="8">
                  <c:v>Dominic Revan</c:v>
                </c:pt>
                <c:pt idx="9">
                  <c:v>Ertuğrul Kurtuluş</c:v>
                </c:pt>
                <c:pt idx="10">
                  <c:v>Jorge Herrando</c:v>
                </c:pt>
                <c:pt idx="11">
                  <c:v>José Manuel Copete</c:v>
                </c:pt>
                <c:pt idx="12">
                  <c:v>Luis Binks</c:v>
                </c:pt>
                <c:pt idx="13">
                  <c:v>Luka Lochoshvili</c:v>
                </c:pt>
                <c:pt idx="14">
                  <c:v>Mariano Fazio</c:v>
                </c:pt>
                <c:pt idx="15">
                  <c:v>Marin Pongračić</c:v>
                </c:pt>
                <c:pt idx="16">
                  <c:v>Matthias Ginter</c:v>
                </c:pt>
                <c:pt idx="17">
                  <c:v>Maxime Estève</c:v>
                </c:pt>
                <c:pt idx="18">
                  <c:v>Nicolás Meriano</c:v>
                </c:pt>
                <c:pt idx="19">
                  <c:v>Nicolas Taravel</c:v>
                </c:pt>
                <c:pt idx="20">
                  <c:v>Nikos Michelis</c:v>
                </c:pt>
                <c:pt idx="21">
                  <c:v>Ousmane Diomandé</c:v>
                </c:pt>
                <c:pt idx="22">
                  <c:v>Patric Pfeiffer</c:v>
                </c:pt>
                <c:pt idx="23">
                  <c:v>Samuel Biek</c:v>
                </c:pt>
                <c:pt idx="24">
                  <c:v>Samuel Gómez</c:v>
                </c:pt>
                <c:pt idx="25">
                  <c:v>Stuart Findlay</c:v>
                </c:pt>
              </c:strCache>
            </c:strRef>
          </c:cat>
          <c:val>
            <c:numRef>
              <c:f>'Pivot Tables'!$W$76:$W$101</c:f>
              <c:numCache>
                <c:formatCode>General</c:formatCode>
                <c:ptCount val="26"/>
                <c:pt idx="0">
                  <c:v>0.81</c:v>
                </c:pt>
                <c:pt idx="1">
                  <c:v>0.56999999999999995</c:v>
                </c:pt>
                <c:pt idx="2">
                  <c:v>0.56000000000000005</c:v>
                </c:pt>
                <c:pt idx="3">
                  <c:v>0.4</c:v>
                </c:pt>
                <c:pt idx="4">
                  <c:v>0.67</c:v>
                </c:pt>
                <c:pt idx="5">
                  <c:v>0.92</c:v>
                </c:pt>
                <c:pt idx="6">
                  <c:v>0.66</c:v>
                </c:pt>
                <c:pt idx="7">
                  <c:v>0.67</c:v>
                </c:pt>
                <c:pt idx="8">
                  <c:v>0.28000000000000003</c:v>
                </c:pt>
                <c:pt idx="9">
                  <c:v>1.06</c:v>
                </c:pt>
                <c:pt idx="10">
                  <c:v>1.21</c:v>
                </c:pt>
                <c:pt idx="11">
                  <c:v>0.91</c:v>
                </c:pt>
                <c:pt idx="12">
                  <c:v>0.99</c:v>
                </c:pt>
                <c:pt idx="13">
                  <c:v>0.76</c:v>
                </c:pt>
                <c:pt idx="14">
                  <c:v>0.22</c:v>
                </c:pt>
                <c:pt idx="15">
                  <c:v>0</c:v>
                </c:pt>
                <c:pt idx="16">
                  <c:v>0.82</c:v>
                </c:pt>
                <c:pt idx="17">
                  <c:v>0.92</c:v>
                </c:pt>
                <c:pt idx="18">
                  <c:v>0.27</c:v>
                </c:pt>
                <c:pt idx="19">
                  <c:v>0.77</c:v>
                </c:pt>
                <c:pt idx="20">
                  <c:v>0.73</c:v>
                </c:pt>
                <c:pt idx="21">
                  <c:v>0.38</c:v>
                </c:pt>
                <c:pt idx="22">
                  <c:v>0.79</c:v>
                </c:pt>
                <c:pt idx="23">
                  <c:v>0.5</c:v>
                </c:pt>
                <c:pt idx="24">
                  <c:v>0.12</c:v>
                </c:pt>
                <c:pt idx="25">
                  <c:v>0.62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66-42DD-91E3-5FBDF3ABC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9605871"/>
        <c:axId val="1039617871"/>
      </c:lineChart>
      <c:catAx>
        <c:axId val="1170649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70656991"/>
        <c:crosses val="autoZero"/>
        <c:auto val="1"/>
        <c:lblAlgn val="ctr"/>
        <c:lblOffset val="100"/>
        <c:noMultiLvlLbl val="0"/>
      </c:catAx>
      <c:valAx>
        <c:axId val="117065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70649791"/>
        <c:crosses val="autoZero"/>
        <c:crossBetween val="between"/>
      </c:valAx>
      <c:valAx>
        <c:axId val="103961787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39605871"/>
        <c:crosses val="max"/>
        <c:crossBetween val="between"/>
      </c:valAx>
      <c:catAx>
        <c:axId val="1039605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39617871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0"/>
            <c:marker>
              <c:symbol val="circle"/>
              <c:size val="10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9F7C-4090-B3BF-734FF80C0A1A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6101852F-0BFE-4F5F-A1B8-45743FBA422C}" type="CELLRANGE">
                      <a:rPr lang="en-US"/>
                      <a:pPr/>
                      <a:t>[CELLRANGE]</a:t>
                    </a:fld>
                    <a:endParaRPr lang="es-E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F7C-4090-B3BF-734FF80C0A1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00C7C12-CCF9-4087-BE65-E608E14331D3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F7C-4090-B3BF-734FF80C0A1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9F526DF-F7FF-4ED4-857D-615124B4D70A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F7C-4090-B3BF-734FF80C0A1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EBC4429-C214-431F-9AAC-FB6B8E2A2393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F7C-4090-B3BF-734FF80C0A1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F01DE95-D19C-40BA-AF09-558C3784AEF1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F7C-4090-B3BF-734FF80C0A1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7E63CAD-7A03-4D79-AF48-E7EE03822F3A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F7C-4090-B3BF-734FF80C0A1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8A436A7-46A0-43F0-87A5-7BE458950BFE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F7C-4090-B3BF-734FF80C0A1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CC0EA65-D41F-4664-A682-C1843405C1C4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F7C-4090-B3BF-734FF80C0A1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43D0978-3EC4-4A24-89A8-72A363155C1D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F7C-4090-B3BF-734FF80C0A1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7DA7732-4279-498F-A2EE-454E2FD1E0FE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F7C-4090-B3BF-734FF80C0A1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11F3876-A217-4B66-9517-1042D61E68B4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F7C-4090-B3BF-734FF80C0A1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64F2E1E-97DA-410A-8E61-92340F0743DB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F7C-4090-B3BF-734FF80C0A1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8EBE7C0-1622-4EDD-AD16-D5990514735C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F7C-4090-B3BF-734FF80C0A1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0C57D04-AE70-47BD-A27A-7EE06B05F478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F7C-4090-B3BF-734FF80C0A1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B6196AF-A2AB-4822-BFCD-61001218BCA1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F7C-4090-B3BF-734FF80C0A1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9C38DD5-466F-4841-A7DC-EA1CBC4D714A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F7C-4090-B3BF-734FF80C0A1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DD5216C-6D3F-4A10-A372-32F84B093931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F7C-4090-B3BF-734FF80C0A1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AD0366F-D140-4F56-9C06-C02E63089A3F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F7C-4090-B3BF-734FF80C0A1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F59BFB9-9628-4884-A8EC-53F8A963A8F7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F7C-4090-B3BF-734FF80C0A1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47B1738-EA74-4939-B285-082AF6D3B6B1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F7C-4090-B3BF-734FF80C0A1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F354C80-645B-44AC-9E2D-13FE01FDCF80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F7C-4090-B3BF-734FF80C0A1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5365335-52B4-42A1-A352-80ECD24D4B9E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F7C-4090-B3BF-734FF80C0A1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D658654-8F04-4DDB-A81D-A3577D1F0C0C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F7C-4090-B3BF-734FF80C0A1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D25BBD4-68C1-4C28-BB22-35BAC243D1EB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F7C-4090-B3BF-734FF80C0A1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ECB8881-0080-4E43-8B6A-201094021CA4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F7C-4090-B3BF-734FF80C0A1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2F22846-8B66-48A6-8470-6A86C0F83BAE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F7C-4090-B3BF-734FF80C0A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'Pivot Tables'!$D$72:$D$97</c:f>
              <c:numCache>
                <c:formatCode>General</c:formatCode>
                <c:ptCount val="26"/>
                <c:pt idx="0">
                  <c:v>4.1100000000000003</c:v>
                </c:pt>
                <c:pt idx="1">
                  <c:v>2.84</c:v>
                </c:pt>
                <c:pt idx="2">
                  <c:v>1.71</c:v>
                </c:pt>
                <c:pt idx="3">
                  <c:v>3.75</c:v>
                </c:pt>
                <c:pt idx="4">
                  <c:v>2.9</c:v>
                </c:pt>
                <c:pt idx="5">
                  <c:v>3.99</c:v>
                </c:pt>
                <c:pt idx="6">
                  <c:v>2.38</c:v>
                </c:pt>
                <c:pt idx="7">
                  <c:v>3.91</c:v>
                </c:pt>
                <c:pt idx="8">
                  <c:v>3.43</c:v>
                </c:pt>
                <c:pt idx="9">
                  <c:v>4.2</c:v>
                </c:pt>
                <c:pt idx="10">
                  <c:v>3.26</c:v>
                </c:pt>
                <c:pt idx="11">
                  <c:v>1.99</c:v>
                </c:pt>
                <c:pt idx="12">
                  <c:v>3.52</c:v>
                </c:pt>
                <c:pt idx="13">
                  <c:v>5.0599999999999996</c:v>
                </c:pt>
                <c:pt idx="14">
                  <c:v>5.0599999999999996</c:v>
                </c:pt>
                <c:pt idx="15">
                  <c:v>2.95</c:v>
                </c:pt>
                <c:pt idx="16">
                  <c:v>2.1</c:v>
                </c:pt>
                <c:pt idx="17">
                  <c:v>3.53</c:v>
                </c:pt>
                <c:pt idx="18">
                  <c:v>3.22</c:v>
                </c:pt>
                <c:pt idx="19">
                  <c:v>3.84</c:v>
                </c:pt>
                <c:pt idx="20">
                  <c:v>4.5199999999999996</c:v>
                </c:pt>
                <c:pt idx="21">
                  <c:v>3.02</c:v>
                </c:pt>
                <c:pt idx="22">
                  <c:v>3.53</c:v>
                </c:pt>
                <c:pt idx="23">
                  <c:v>4.5</c:v>
                </c:pt>
                <c:pt idx="24">
                  <c:v>2.44</c:v>
                </c:pt>
                <c:pt idx="25">
                  <c:v>2.89</c:v>
                </c:pt>
              </c:numCache>
            </c:numRef>
          </c:xVal>
          <c:yVal>
            <c:numRef>
              <c:f>'Pivot Tables'!$E$72:$E$97</c:f>
              <c:numCache>
                <c:formatCode>General</c:formatCode>
                <c:ptCount val="26"/>
                <c:pt idx="0">
                  <c:v>2.23</c:v>
                </c:pt>
                <c:pt idx="1">
                  <c:v>1.76</c:v>
                </c:pt>
                <c:pt idx="2">
                  <c:v>2.78</c:v>
                </c:pt>
                <c:pt idx="3">
                  <c:v>1.58</c:v>
                </c:pt>
                <c:pt idx="4">
                  <c:v>1.76</c:v>
                </c:pt>
                <c:pt idx="5">
                  <c:v>1.61</c:v>
                </c:pt>
                <c:pt idx="6">
                  <c:v>1.67</c:v>
                </c:pt>
                <c:pt idx="7">
                  <c:v>1.4</c:v>
                </c:pt>
                <c:pt idx="8">
                  <c:v>1.52</c:v>
                </c:pt>
                <c:pt idx="9">
                  <c:v>1.57</c:v>
                </c:pt>
                <c:pt idx="10">
                  <c:v>2.31</c:v>
                </c:pt>
                <c:pt idx="11">
                  <c:v>2.4900000000000002</c:v>
                </c:pt>
                <c:pt idx="12">
                  <c:v>1.67</c:v>
                </c:pt>
                <c:pt idx="13">
                  <c:v>1.54</c:v>
                </c:pt>
                <c:pt idx="14">
                  <c:v>2.25</c:v>
                </c:pt>
                <c:pt idx="15">
                  <c:v>1.31</c:v>
                </c:pt>
                <c:pt idx="16">
                  <c:v>1.49</c:v>
                </c:pt>
                <c:pt idx="17">
                  <c:v>1.63</c:v>
                </c:pt>
                <c:pt idx="18">
                  <c:v>2.1</c:v>
                </c:pt>
                <c:pt idx="19">
                  <c:v>2.75</c:v>
                </c:pt>
                <c:pt idx="20">
                  <c:v>1.1399999999999999</c:v>
                </c:pt>
                <c:pt idx="21">
                  <c:v>1.35</c:v>
                </c:pt>
                <c:pt idx="22">
                  <c:v>1.77</c:v>
                </c:pt>
                <c:pt idx="23">
                  <c:v>1.25</c:v>
                </c:pt>
                <c:pt idx="24">
                  <c:v>1.92</c:v>
                </c:pt>
                <c:pt idx="25">
                  <c:v>1.93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'Pivot Tables'!$C$72:$C$97</c15:f>
                <c15:dlblRangeCache>
                  <c:ptCount val="26"/>
                  <c:pt idx="0">
                    <c:v>Álex Pérez</c:v>
                  </c:pt>
                  <c:pt idx="1">
                    <c:v>Attila Szalai</c:v>
                  </c:pt>
                  <c:pt idx="2">
                    <c:v>Damián Canedo</c:v>
                  </c:pt>
                  <c:pt idx="3">
                    <c:v>Dan Happe</c:v>
                  </c:pt>
                  <c:pt idx="4">
                    <c:v>David Carmo</c:v>
                  </c:pt>
                  <c:pt idx="5">
                    <c:v>David Domgjoni</c:v>
                  </c:pt>
                  <c:pt idx="6">
                    <c:v>Dimitrie Deumi Nappi</c:v>
                  </c:pt>
                  <c:pt idx="7">
                    <c:v>Dominic Revan</c:v>
                  </c:pt>
                  <c:pt idx="8">
                    <c:v>Ertuğrul Kurtuluş</c:v>
                  </c:pt>
                  <c:pt idx="9">
                    <c:v>Jorge Herrando</c:v>
                  </c:pt>
                  <c:pt idx="10">
                    <c:v>José Manuel Copete</c:v>
                  </c:pt>
                  <c:pt idx="11">
                    <c:v>Luis Binks</c:v>
                  </c:pt>
                  <c:pt idx="12">
                    <c:v>Luka Lochoshvili</c:v>
                  </c:pt>
                  <c:pt idx="13">
                    <c:v>Mariano Fazio</c:v>
                  </c:pt>
                  <c:pt idx="14">
                    <c:v>Marin Pongračić</c:v>
                  </c:pt>
                  <c:pt idx="15">
                    <c:v>Matthias Ginter</c:v>
                  </c:pt>
                  <c:pt idx="16">
                    <c:v>Maxime Estève</c:v>
                  </c:pt>
                  <c:pt idx="17">
                    <c:v>Nicolás Meriano</c:v>
                  </c:pt>
                  <c:pt idx="18">
                    <c:v>Nicolas Taravel</c:v>
                  </c:pt>
                  <c:pt idx="19">
                    <c:v>Nikos Michelis</c:v>
                  </c:pt>
                  <c:pt idx="20">
                    <c:v>Ousmane Diomandé</c:v>
                  </c:pt>
                  <c:pt idx="21">
                    <c:v>Patric Pfeiffer</c:v>
                  </c:pt>
                  <c:pt idx="22">
                    <c:v>Samuel Biek</c:v>
                  </c:pt>
                  <c:pt idx="23">
                    <c:v>Samuel Gómez</c:v>
                  </c:pt>
                  <c:pt idx="24">
                    <c:v>Strahinja Pavlović</c:v>
                  </c:pt>
                  <c:pt idx="25">
                    <c:v>Stuart Findlay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F7C-4090-B3BF-734FF80C0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781407"/>
        <c:axId val="542777087"/>
      </c:scatterChart>
      <c:valAx>
        <c:axId val="5427814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42777087"/>
        <c:crosses val="autoZero"/>
        <c:crossBetween val="midCat"/>
      </c:valAx>
      <c:valAx>
        <c:axId val="5427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42781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133351</xdr:rowOff>
    </xdr:from>
    <xdr:to>
      <xdr:col>2</xdr:col>
      <xdr:colOff>104775</xdr:colOff>
      <xdr:row>5</xdr:row>
      <xdr:rowOff>57151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9263AA2-6FA1-2688-DF0F-8DDF8729B59C}"/>
            </a:ext>
          </a:extLst>
        </xdr:cNvPr>
        <xdr:cNvSpPr/>
      </xdr:nvSpPr>
      <xdr:spPr>
        <a:xfrm>
          <a:off x="95250" y="133351"/>
          <a:ext cx="1638300" cy="89535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>
              <a:solidFill>
                <a:sysClr val="windowText" lastClr="000000"/>
              </a:solidFill>
            </a:rPr>
            <a:t>Jugadores en informe</a:t>
          </a:r>
        </a:p>
      </xdr:txBody>
    </xdr:sp>
    <xdr:clientData/>
  </xdr:twoCellAnchor>
  <xdr:twoCellAnchor>
    <xdr:from>
      <xdr:col>3</xdr:col>
      <xdr:colOff>28576</xdr:colOff>
      <xdr:row>6</xdr:row>
      <xdr:rowOff>47625</xdr:rowOff>
    </xdr:from>
    <xdr:to>
      <xdr:col>8</xdr:col>
      <xdr:colOff>571500</xdr:colOff>
      <xdr:row>22</xdr:row>
      <xdr:rowOff>114299</xdr:rowOff>
    </xdr:to>
    <xdr:graphicFrame macro="">
      <xdr:nvGraphicFramePr>
        <xdr:cNvPr id="5" name="%pases">
          <a:extLst>
            <a:ext uri="{FF2B5EF4-FFF2-40B4-BE49-F238E27FC236}">
              <a16:creationId xmlns:a16="http://schemas.microsoft.com/office/drawing/2014/main" id="{48CFC7E6-56FC-4F2C-8281-40AD3DC779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66676</xdr:colOff>
      <xdr:row>6</xdr:row>
      <xdr:rowOff>38099</xdr:rowOff>
    </xdr:from>
    <xdr:to>
      <xdr:col>13</xdr:col>
      <xdr:colOff>1828800</xdr:colOff>
      <xdr:row>22</xdr:row>
      <xdr:rowOff>85724</xdr:rowOff>
    </xdr:to>
    <xdr:graphicFrame macro="">
      <xdr:nvGraphicFramePr>
        <xdr:cNvPr id="6" name="CabezazosGanados">
          <a:extLst>
            <a:ext uri="{FF2B5EF4-FFF2-40B4-BE49-F238E27FC236}">
              <a16:creationId xmlns:a16="http://schemas.microsoft.com/office/drawing/2014/main" id="{F70BC116-9BDA-42AB-B023-2E88760A14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85725</xdr:colOff>
      <xdr:row>5</xdr:row>
      <xdr:rowOff>171448</xdr:rowOff>
    </xdr:from>
    <xdr:to>
      <xdr:col>2</xdr:col>
      <xdr:colOff>136200</xdr:colOff>
      <xdr:row>22</xdr:row>
      <xdr:rowOff>28948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Nombre">
              <a:extLst>
                <a:ext uri="{FF2B5EF4-FFF2-40B4-BE49-F238E27FC236}">
                  <a16:creationId xmlns:a16="http://schemas.microsoft.com/office/drawing/2014/main" id="{708CB595-8EB9-BBB9-00D2-FD776E4738D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725" y="1352548"/>
              <a:ext cx="1584000" cy="30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171448</xdr:colOff>
      <xdr:row>3</xdr:row>
      <xdr:rowOff>619126</xdr:rowOff>
    </xdr:from>
    <xdr:to>
      <xdr:col>16</xdr:col>
      <xdr:colOff>717176</xdr:colOff>
      <xdr:row>10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in">
              <a:extLst>
                <a:ext uri="{FF2B5EF4-FFF2-40B4-BE49-F238E27FC236}">
                  <a16:creationId xmlns:a16="http://schemas.microsoft.com/office/drawing/2014/main" id="{E9058612-1771-96DE-567F-65D76DCEC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i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39523" y="962026"/>
              <a:ext cx="1762127" cy="11715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179293</xdr:colOff>
      <xdr:row>1</xdr:row>
      <xdr:rowOff>11206</xdr:rowOff>
    </xdr:from>
    <xdr:to>
      <xdr:col>16</xdr:col>
      <xdr:colOff>719893</xdr:colOff>
      <xdr:row>3</xdr:row>
      <xdr:rowOff>592231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ltura">
              <a:extLst>
                <a:ext uri="{FF2B5EF4-FFF2-40B4-BE49-F238E27FC236}">
                  <a16:creationId xmlns:a16="http://schemas.microsoft.com/office/drawing/2014/main" id="{19E27017-E876-9348-CAEB-E71395C25D6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ltu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52411" y="201706"/>
              <a:ext cx="2064600" cy="73790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39220</xdr:colOff>
      <xdr:row>1</xdr:row>
      <xdr:rowOff>9525</xdr:rowOff>
    </xdr:from>
    <xdr:to>
      <xdr:col>19</xdr:col>
      <xdr:colOff>56029</xdr:colOff>
      <xdr:row>16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Sueldo">
              <a:extLst>
                <a:ext uri="{FF2B5EF4-FFF2-40B4-BE49-F238E27FC236}">
                  <a16:creationId xmlns:a16="http://schemas.microsoft.com/office/drawing/2014/main" id="{F958D5D7-51BE-9E50-1F79-06CEC6011A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el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598338" y="200025"/>
              <a:ext cx="1540809" cy="30832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171446</xdr:colOff>
      <xdr:row>10</xdr:row>
      <xdr:rowOff>47625</xdr:rowOff>
    </xdr:from>
    <xdr:to>
      <xdr:col>16</xdr:col>
      <xdr:colOff>694763</xdr:colOff>
      <xdr:row>16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Media">
              <a:extLst>
                <a:ext uri="{FF2B5EF4-FFF2-40B4-BE49-F238E27FC236}">
                  <a16:creationId xmlns:a16="http://schemas.microsoft.com/office/drawing/2014/main" id="{336025CE-71C3-0CEF-8C79-EDA818D29B3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d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39522" y="2181225"/>
              <a:ext cx="1771653" cy="1104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100853</xdr:colOff>
      <xdr:row>23</xdr:row>
      <xdr:rowOff>100852</xdr:rowOff>
    </xdr:from>
    <xdr:to>
      <xdr:col>7</xdr:col>
      <xdr:colOff>369794</xdr:colOff>
      <xdr:row>44</xdr:row>
      <xdr:rowOff>100852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6D63CD2-16E6-4C4A-A0D5-BF07647FFE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481853</xdr:colOff>
      <xdr:row>23</xdr:row>
      <xdr:rowOff>44824</xdr:rowOff>
    </xdr:from>
    <xdr:to>
      <xdr:col>13</xdr:col>
      <xdr:colOff>1848971</xdr:colOff>
      <xdr:row>44</xdr:row>
      <xdr:rowOff>89648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D9EACDF-18DD-4324-B100-8B02C0C2D2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156883</xdr:colOff>
      <xdr:row>16</xdr:row>
      <xdr:rowOff>156881</xdr:rowOff>
    </xdr:from>
    <xdr:to>
      <xdr:col>18</xdr:col>
      <xdr:colOff>728383</xdr:colOff>
      <xdr:row>18</xdr:row>
      <xdr:rowOff>112057</xdr:rowOff>
    </xdr:to>
    <xdr:sp macro="[0]!ScatterPlot01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500C00AB-3467-6931-FECE-3335DE61C7B3}"/>
            </a:ext>
          </a:extLst>
        </xdr:cNvPr>
        <xdr:cNvSpPr/>
      </xdr:nvSpPr>
      <xdr:spPr>
        <a:xfrm>
          <a:off x="11430001" y="3440205"/>
          <a:ext cx="3619500" cy="336176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/>
            <a:t>Scatter</a:t>
          </a:r>
          <a:r>
            <a:rPr lang="es-ES" sz="1400" baseline="0"/>
            <a:t> plot robos y presiones completadas</a:t>
          </a:r>
        </a:p>
        <a:p>
          <a:pPr algn="ctr"/>
          <a:endParaRPr lang="es-ES" sz="1400"/>
        </a:p>
      </xdr:txBody>
    </xdr:sp>
    <xdr:clientData/>
  </xdr:twoCellAnchor>
  <xdr:twoCellAnchor>
    <xdr:from>
      <xdr:col>14</xdr:col>
      <xdr:colOff>168088</xdr:colOff>
      <xdr:row>23</xdr:row>
      <xdr:rowOff>78441</xdr:rowOff>
    </xdr:from>
    <xdr:to>
      <xdr:col>19</xdr:col>
      <xdr:colOff>145676</xdr:colOff>
      <xdr:row>44</xdr:row>
      <xdr:rowOff>100853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17F94ACF-5CA0-4BCD-9F34-675DAD290C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14</xdr:col>
      <xdr:colOff>129988</xdr:colOff>
      <xdr:row>19</xdr:row>
      <xdr:rowOff>40340</xdr:rowOff>
    </xdr:from>
    <xdr:to>
      <xdr:col>18</xdr:col>
      <xdr:colOff>701488</xdr:colOff>
      <xdr:row>20</xdr:row>
      <xdr:rowOff>186016</xdr:rowOff>
    </xdr:to>
    <xdr:sp macro="[0]!PlaytimeSheet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23C9FFC8-6E81-4AB4-B5E4-B979C07B4FAA}"/>
            </a:ext>
          </a:extLst>
        </xdr:cNvPr>
        <xdr:cNvSpPr/>
      </xdr:nvSpPr>
      <xdr:spPr>
        <a:xfrm>
          <a:off x="11403106" y="3895164"/>
          <a:ext cx="3619500" cy="336176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/>
            <a:t>Scatter</a:t>
          </a:r>
          <a:r>
            <a:rPr lang="es-ES" sz="1400" baseline="0"/>
            <a:t> plot minutos, faltas y sanciones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712694</xdr:colOff>
      <xdr:row>1</xdr:row>
      <xdr:rowOff>52108</xdr:rowOff>
    </xdr:from>
    <xdr:to>
      <xdr:col>19</xdr:col>
      <xdr:colOff>268942</xdr:colOff>
      <xdr:row>41</xdr:row>
      <xdr:rowOff>168090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3048F84-4ACF-46AB-A1DE-C8F1B4C889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672352</xdr:colOff>
      <xdr:row>1</xdr:row>
      <xdr:rowOff>78440</xdr:rowOff>
    </xdr:from>
    <xdr:to>
      <xdr:col>22</xdr:col>
      <xdr:colOff>403412</xdr:colOff>
      <xdr:row>5</xdr:row>
      <xdr:rowOff>22412</xdr:rowOff>
    </xdr:to>
    <xdr:sp macro="[0]!DashboardShee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78A585FC-57B6-501D-2447-B8E8005F2EA5}"/>
            </a:ext>
          </a:extLst>
        </xdr:cNvPr>
        <xdr:cNvSpPr/>
      </xdr:nvSpPr>
      <xdr:spPr>
        <a:xfrm>
          <a:off x="15677028" y="268940"/>
          <a:ext cx="2017060" cy="705972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/>
            <a:t>Back</a:t>
          </a:r>
          <a:r>
            <a:rPr lang="es-ES" sz="1600" baseline="0"/>
            <a:t> to the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470646</xdr:colOff>
      <xdr:row>0</xdr:row>
      <xdr:rowOff>179294</xdr:rowOff>
    </xdr:from>
    <xdr:to>
      <xdr:col>15</xdr:col>
      <xdr:colOff>201706</xdr:colOff>
      <xdr:row>4</xdr:row>
      <xdr:rowOff>123266</xdr:rowOff>
    </xdr:to>
    <xdr:sp macro="[0]!DashboardShee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4BDD8038-30B0-451E-BC50-15D03AA50C1E}"/>
            </a:ext>
          </a:extLst>
        </xdr:cNvPr>
        <xdr:cNvSpPr/>
      </xdr:nvSpPr>
      <xdr:spPr>
        <a:xfrm>
          <a:off x="11564470" y="179294"/>
          <a:ext cx="2017060" cy="705972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/>
            <a:t>Back</a:t>
          </a:r>
          <a:r>
            <a:rPr lang="es-ES" sz="1600" baseline="0"/>
            <a:t> to the Dashboard</a:t>
          </a:r>
        </a:p>
      </xdr:txBody>
    </xdr:sp>
    <xdr:clientData/>
  </xdr:twoCellAnchor>
  <xdr:twoCellAnchor>
    <xdr:from>
      <xdr:col>0</xdr:col>
      <xdr:colOff>112056</xdr:colOff>
      <xdr:row>1</xdr:row>
      <xdr:rowOff>33617</xdr:rowOff>
    </xdr:from>
    <xdr:to>
      <xdr:col>8</xdr:col>
      <xdr:colOff>448235</xdr:colOff>
      <xdr:row>31</xdr:row>
      <xdr:rowOff>56029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D172489-9A92-487F-8E7F-1230A3C69F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1190626</xdr:colOff>
      <xdr:row>3</xdr:row>
      <xdr:rowOff>20411</xdr:rowOff>
    </xdr:from>
    <xdr:to>
      <xdr:col>6</xdr:col>
      <xdr:colOff>1469573</xdr:colOff>
      <xdr:row>17</xdr:row>
      <xdr:rowOff>48986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42E5244-0DA9-1256-AA55-1100E31840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1190385</xdr:colOff>
      <xdr:row>3</xdr:row>
      <xdr:rowOff>167607</xdr:rowOff>
    </xdr:from>
    <xdr:to>
      <xdr:col>17</xdr:col>
      <xdr:colOff>932089</xdr:colOff>
      <xdr:row>19</xdr:row>
      <xdr:rowOff>83003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B0BAE7D-0073-1B74-B1EF-E40605BC43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322787</xdr:colOff>
      <xdr:row>32</xdr:row>
      <xdr:rowOff>26804</xdr:rowOff>
    </xdr:from>
    <xdr:to>
      <xdr:col>18</xdr:col>
      <xdr:colOff>547124</xdr:colOff>
      <xdr:row>54</xdr:row>
      <xdr:rowOff>3273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8CD9E24F-5C15-D4AD-052B-96CDF1EE3E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381001</xdr:colOff>
      <xdr:row>70</xdr:row>
      <xdr:rowOff>138791</xdr:rowOff>
    </xdr:from>
    <xdr:to>
      <xdr:col>24</xdr:col>
      <xdr:colOff>680357</xdr:colOff>
      <xdr:row>92</xdr:row>
      <xdr:rowOff>95248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6D683159-E398-251A-9A0A-443928DE23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12372</xdr:colOff>
      <xdr:row>69</xdr:row>
      <xdr:rowOff>103908</xdr:rowOff>
    </xdr:from>
    <xdr:to>
      <xdr:col>8</xdr:col>
      <xdr:colOff>103911</xdr:colOff>
      <xdr:row>96</xdr:row>
      <xdr:rowOff>121227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7BFDF09-4AE8-0628-DC6D-FF9D4EE9AE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5116.544765046296" createdVersion="8" refreshedVersion="8" minRefreshableVersion="3" recordCount="26" xr:uid="{FF8DFA6D-5F7D-452A-A8D9-CBB2B372B15C}">
  <cacheSource type="worksheet">
    <worksheetSource name="data"/>
  </cacheSource>
  <cacheFields count="51">
    <cacheField name="Nombre" numFmtId="0">
      <sharedItems count="26">
        <s v="Álex Pérez"/>
        <s v="Attila Szalai"/>
        <s v="Damián Canedo"/>
        <s v="Dan Happe"/>
        <s v="David Carmo"/>
        <s v="David Domgjoni"/>
        <s v="Dimitrie Deumi Nappi"/>
        <s v="Dominic Revan"/>
        <s v="Ertuğrul Kurtuluş"/>
        <s v="Jorge Herrando"/>
        <s v="José Manuel Copete"/>
        <s v="Luis Binks"/>
        <s v="Luka Lochoshvili"/>
        <s v="Mariano Fazio"/>
        <s v="Marin Pongračić"/>
        <s v="Matthias Ginter"/>
        <s v="Maxime Estève"/>
        <s v="Nicolás Meriano"/>
        <s v="Nicolas Taravel"/>
        <s v="Nikos Michelis"/>
        <s v="Ousmane Diomandé"/>
        <s v="Patric Pfeiffer"/>
        <s v="Samuel Biek"/>
        <s v="Samuel Gómez"/>
        <s v="Strahinja Pavlović"/>
        <s v="Stuart Findlay"/>
      </sharedItems>
    </cacheField>
    <cacheField name="Altura" numFmtId="0">
      <sharedItems containsSemiMixedTypes="0" containsString="0" containsNumber="1" containsInteger="1" minValue="190" maxValue="196"/>
    </cacheField>
    <cacheField name="Peso" numFmtId="0">
      <sharedItems/>
    </cacheField>
    <cacheField name="Final" numFmtId="14">
      <sharedItems containsSemiMixedTypes="0" containsNonDate="0" containsDate="1" containsString="0" minDate="2024-06-30T00:00:00" maxDate="2028-07-01T00:00:00"/>
    </cacheField>
    <cacheField name="Sueldo" numFmtId="0">
      <sharedItems/>
    </cacheField>
    <cacheField name="Min" numFmtId="0">
      <sharedItems containsSemiMixedTypes="0" containsString="0" containsNumber="1" containsInteger="1" minValue="160" maxValue="3243" count="26">
        <n v="2101"/>
        <n v="2663"/>
        <n v="2005"/>
        <n v="3243"/>
        <n v="2358"/>
        <n v="1511"/>
        <n v="2160"/>
        <n v="2579"/>
        <n v="1363"/>
        <n v="1264"/>
        <n v="2068"/>
        <n v="181"/>
        <n v="2376"/>
        <n v="409"/>
        <n v="160"/>
        <n v="2750"/>
        <n v="1756"/>
        <n v="331"/>
        <n v="1285"/>
        <n v="1736"/>
        <n v="1893"/>
        <n v="1939"/>
        <n v="3209"/>
        <n v="720"/>
        <n v="1550"/>
        <n v="3176"/>
      </sharedItems>
    </cacheField>
    <cacheField name="Part" numFmtId="0">
      <sharedItems containsMixedTypes="1" containsNumber="1" containsInteger="1" minValue="4" maxValue="37"/>
    </cacheField>
    <cacheField name="Dist/90" numFmtId="0">
      <sharedItems/>
    </cacheField>
    <cacheField name="Media" numFmtId="0">
      <sharedItems containsSemiMixedTypes="0" containsString="0" containsNumber="1" minValue="6.33" maxValue="7.21"/>
    </cacheField>
    <cacheField name="Ps I/90" numFmtId="0">
      <sharedItems containsSemiMixedTypes="0" containsString="0" containsNumber="1" minValue="51.83" maxValue="101.3"/>
    </cacheField>
    <cacheField name="Ps C/90" numFmtId="0">
      <sharedItems containsSemiMixedTypes="0" containsString="0" containsNumber="1" minValue="38.950000000000003" maxValue="94.2"/>
    </cacheField>
    <cacheField name="Pases prog/90" numFmtId="0">
      <sharedItems containsSemiMixedTypes="0" containsString="0" containsNumber="1" minValue="2.92" maxValue="6.28"/>
    </cacheField>
    <cacheField name="Pas Clv/90" numFmtId="0">
      <sharedItems containsMixedTypes="1" containsNumber="1" minValue="7.0000000000000007E-2" maxValue="1.26"/>
    </cacheField>
    <cacheField name="P Clv- J Ab" numFmtId="0">
      <sharedItems containsSemiMixedTypes="0" containsString="0" containsNumber="1" containsInteger="1" minValue="0" maxValue="21"/>
    </cacheField>
    <cacheField name="P Clv-J Ab/90" numFmtId="0">
      <sharedItems containsSemiMixedTypes="0" containsString="0" containsNumber="1" minValue="0" maxValue="0.94"/>
    </cacheField>
    <cacheField name="% Pase" numFmtId="9">
      <sharedItems containsSemiMixedTypes="0" containsString="0" containsNumber="1" minValue="0.64" maxValue="0.95"/>
    </cacheField>
    <cacheField name="TirP/90" numFmtId="0">
      <sharedItems containsMixedTypes="1" containsNumber="1" minValue="0" maxValue="0.43"/>
    </cacheField>
    <cacheField name="Gol" numFmtId="0">
      <sharedItems containsSemiMixedTypes="0" containsString="0" containsNumber="1" containsInteger="1" minValue="0" maxValue="4"/>
    </cacheField>
    <cacheField name="Reg" numFmtId="0">
      <sharedItems containsSemiMixedTypes="0" containsString="0" containsNumber="1" containsInteger="1" minValue="0" maxValue="12"/>
    </cacheField>
    <cacheField name="Reg/90" numFmtId="0">
      <sharedItems containsMixedTypes="1" containsNumber="1" minValue="7.0000000000000007E-2" maxValue="0.62"/>
    </cacheField>
    <cacheField name="FR" numFmtId="0">
      <sharedItems containsSemiMixedTypes="0" containsString="0" containsNumber="1" containsInteger="1" minValue="0" maxValue="22"/>
    </cacheField>
    <cacheField name="Cab Int" numFmtId="0">
      <sharedItems containsSemiMixedTypes="0" containsString="0" containsNumber="1" containsInteger="1" minValue="16" maxValue="528"/>
    </cacheField>
    <cacheField name="Bal aér/90" numFmtId="0">
      <sharedItems containsSemiMixedTypes="0" containsString="0" containsNumber="1" minValue="7.94" maxValue="16.75"/>
    </cacheField>
    <cacheField name="Cab" numFmtId="0">
      <sharedItems containsSemiMixedTypes="0" containsString="0" containsNumber="1" containsInteger="1" minValue="12" maxValue="438"/>
    </cacheField>
    <cacheField name="Cab G/90" numFmtId="0">
      <sharedItems containsSemiMixedTypes="0" containsString="0" containsNumber="1" minValue="6.09" maxValue="13.88"/>
    </cacheField>
    <cacheField name="Cab Clv/90" numFmtId="0">
      <sharedItems containsSemiMixedTypes="0" containsString="0" containsNumber="1" minValue="0" maxValue="1.21"/>
    </cacheField>
    <cacheField name="Rcg %" numFmtId="9">
      <sharedItems containsSemiMixedTypes="0" containsString="0" containsNumber="1" minValue="0.75" maxValue="0.88"/>
    </cacheField>
    <cacheField name="Ent I" numFmtId="0">
      <sharedItems containsSemiMixedTypes="0" containsString="0" containsNumber="1" containsInteger="1" minValue="1" maxValue="46"/>
    </cacheField>
    <cacheField name="Entr/90" numFmtId="0">
      <sharedItems containsSemiMixedTypes="0" containsString="0" containsNumber="1" minValue="0.25" maxValue="1.56"/>
    </cacheField>
    <cacheField name="Ent G" numFmtId="0">
      <sharedItems containsSemiMixedTypes="0" containsString="0" containsNumber="1" containsInteger="1" minValue="1" maxValue="41"/>
    </cacheField>
    <cacheField name="Ent Cl" numFmtId="0">
      <sharedItems containsSemiMixedTypes="0" containsString="0" containsNumber="1" containsInteger="1" minValue="0" maxValue="11"/>
    </cacheField>
    <cacheField name="Ent Clv/90" numFmtId="0">
      <sharedItems containsSemiMixedTypes="0" containsString="0" containsNumber="1" minValue="0" maxValue="0.42"/>
    </cacheField>
    <cacheField name="Ent P" numFmtId="9">
      <sharedItems containsSemiMixedTypes="0" containsString="0" containsNumber="1" minValue="0.76" maxValue="1"/>
    </cacheField>
    <cacheField name="Rob" numFmtId="0">
      <sharedItems containsSemiMixedTypes="0" containsString="0" containsNumber="1" containsInteger="1" minValue="4" maxValue="135"/>
    </cacheField>
    <cacheField name="Rob/90" numFmtId="0">
      <sharedItems containsSemiMixedTypes="0" containsString="0" containsNumber="1" minValue="1.71" maxValue="5.0599999999999996"/>
    </cacheField>
    <cacheField name="Pres Int" numFmtId="0">
      <sharedItems containsSemiMixedTypes="0" containsString="0" containsNumber="1" containsInteger="1" minValue="7" maxValue="234"/>
    </cacheField>
    <cacheField name="Pres I/90" numFmtId="0">
      <sharedItems containsSemiMixedTypes="0" containsString="0" containsNumber="1" minValue="2.88" maxValue="10.5"/>
    </cacheField>
    <cacheField name="Pres C" numFmtId="0">
      <sharedItems containsSemiMixedTypes="0" containsString="0" containsNumber="1" containsInteger="1" minValue="4" maxValue="68"/>
    </cacheField>
    <cacheField name="Pres C/90" numFmtId="0">
      <sharedItems containsSemiMixedTypes="0" containsString="0" containsNumber="1" minValue="1.1399999999999999" maxValue="2.78"/>
    </cacheField>
    <cacheField name="Pos Perd/90" numFmtId="0">
      <sharedItems containsSemiMixedTypes="0" containsString="0" containsNumber="1" minValue="2.08" maxValue="22.44"/>
    </cacheField>
    <cacheField name="Pos Gan/90" numFmtId="0">
      <sharedItems containsSemiMixedTypes="0" containsString="0" containsNumber="1" minValue="18" maxValue="33.67"/>
    </cacheField>
    <cacheField name="Pos Gan/Per /90" numFmtId="2">
      <sharedItems containsSemiMixedTypes="0" containsString="0" containsNumber="1" minValue="1.500445632798574" maxValue="10.740384615384615"/>
    </cacheField>
    <cacheField name="Desp" numFmtId="0">
      <sharedItems containsSemiMixedTypes="0" containsString="0" containsNumber="1" containsInteger="1" minValue="2" maxValue="65"/>
    </cacheField>
    <cacheField name="Desp/90" numFmtId="0">
      <sharedItems containsSemiMixedTypes="0" containsString="0" containsNumber="1" minValue="0.82" maxValue="1.99"/>
    </cacheField>
    <cacheField name="FC" numFmtId="0">
      <sharedItems containsSemiMixedTypes="0" containsString="0" containsNumber="1" containsInteger="1" minValue="1" maxValue="37"/>
    </cacheField>
    <cacheField name="Ama" numFmtId="0">
      <sharedItems containsSemiMixedTypes="0" containsString="0" containsNumber="1" containsInteger="1" minValue="0" maxValue="11"/>
    </cacheField>
    <cacheField name="Roj." numFmtId="0">
      <sharedItems containsSemiMixedTypes="0" containsString="0" containsNumber="1" containsInteger="1" minValue="0" maxValue="2"/>
    </cacheField>
    <cacheField name="Gl Err" numFmtId="0">
      <sharedItems containsSemiMixedTypes="0" containsString="0" containsNumber="1" containsInteger="1" minValue="0" maxValue="3"/>
    </cacheField>
    <cacheField name="Rec" numFmtId="0">
      <sharedItems containsSemiMixedTypes="0" containsString="0" containsNumber="1" containsInteger="1" minValue="0" maxValue="30"/>
    </cacheField>
    <cacheField name="Rech/90" numFmtId="0">
      <sharedItems containsMixedTypes="1" containsNumber="1" minValue="0.41" maxValue="1.0900000000000001"/>
    </cacheField>
    <cacheField name="EnEq/90" numFmtId="0">
      <sharedItems containsSemiMixedTypes="0" containsString="0" containsNumber="1" minValue="0.4" maxValue="2.09"/>
    </cacheField>
  </cacheFields>
  <extLst>
    <ext xmlns:x14="http://schemas.microsoft.com/office/spreadsheetml/2009/9/main" uri="{725AE2AE-9491-48be-B2B4-4EB974FC3084}">
      <x14:pivotCacheDefinition pivotCacheId="197896071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" refreshedDate="45116.750246527779" backgroundQuery="1" createdVersion="8" refreshedVersion="8" minRefreshableVersion="3" recordCount="0" supportSubquery="1" supportAdvancedDrill="1" xr:uid="{82AD1BEB-B92B-4326-A1E6-3C18AC4B42B7}">
  <cacheSource type="external" connectionId="1"/>
  <cacheFields count="2">
    <cacheField name="[Data].[Nombre].[Nombre]" caption="Nombre" numFmtId="0" level="1">
      <sharedItems count="26">
        <s v="Álex Pérez"/>
        <s v="Attila Szalai"/>
        <s v="Damián Canedo"/>
        <s v="Dan Happe"/>
        <s v="David Carmo"/>
        <s v="David Domgjoni"/>
        <s v="Dimitrie Deumi Nappi"/>
        <s v="Dominic Revan"/>
        <s v="Ertuğrul Kurtuluş"/>
        <s v="Jorge Herrando"/>
        <s v="José Manuel Copete"/>
        <s v="Luis Binks"/>
        <s v="Luka Lochoshvili"/>
        <s v="Mariano Fazio"/>
        <s v="Marin Pongračić"/>
        <s v="Matthias Ginter"/>
        <s v="Maxime Estève"/>
        <s v="Nicolás Meriano"/>
        <s v="Nicolas Taravel"/>
        <s v="Nikos Michelis"/>
        <s v="Ousmane Diomandé"/>
        <s v="Patric Pfeiffer"/>
        <s v="Samuel Biek"/>
        <s v="Samuel Gómez"/>
        <s v="Strahinja Pavlović"/>
        <s v="Stuart Findlay"/>
      </sharedItems>
    </cacheField>
    <cacheField name="[Measures].[Suma de Cab G/90]" caption="Suma de Cab G/90" numFmtId="0" hierarchy="64" level="32767"/>
  </cacheFields>
  <cacheHierarchies count="80">
    <cacheHierarchy uniqueName="[Data].[Nombre]" caption="Nombre" attribute="1" defaultMemberUniqueName="[Data].[Nombre].[All]" allUniqueName="[Data].[Nombre].[All]" dimensionUniqueName="[Data]" displayFolder="" count="2" memberValueDatatype="130" unbalanced="0">
      <fieldsUsage count="2">
        <fieldUsage x="-1"/>
        <fieldUsage x="0"/>
      </fieldsUsage>
    </cacheHierarchy>
    <cacheHierarchy uniqueName="[Data].[Altura]" caption="Altura" attribute="1" defaultMemberUniqueName="[Data].[Altura].[All]" allUniqueName="[Data].[Altura].[All]" dimensionUniqueName="[Data]" displayFolder="" count="2" memberValueDatatype="20" unbalanced="0"/>
    <cacheHierarchy uniqueName="[Data].[Peso]" caption="Peso" attribute="1" defaultMemberUniqueName="[Data].[Peso].[All]" allUniqueName="[Data].[Peso].[All]" dimensionUniqueName="[Data]" displayFolder="" count="0" memberValueDatatype="130" unbalanced="0"/>
    <cacheHierarchy uniqueName="[Data].[Final]" caption="Final" attribute="1" time="1" defaultMemberUniqueName="[Data].[Final].[All]" allUniqueName="[Data].[Final].[All]" dimensionUniqueName="[Data]" displayFolder="" count="0" memberValueDatatype="7" unbalanced="0"/>
    <cacheHierarchy uniqueName="[Data].[Sueldo]" caption="Sueldo" attribute="1" defaultMemberUniqueName="[Data].[Sueldo].[All]" allUniqueName="[Data].[Sueldo].[All]" dimensionUniqueName="[Data]" displayFolder="" count="2" memberValueDatatype="130" unbalanced="0"/>
    <cacheHierarchy uniqueName="[Data].[Min]" caption="Min" attribute="1" defaultMemberUniqueName="[Data].[Min].[All]" allUniqueName="[Data].[Min].[All]" dimensionUniqueName="[Data]" displayFolder="" count="2" memberValueDatatype="20" unbalanced="0"/>
    <cacheHierarchy uniqueName="[Data].[Part]" caption="Part" attribute="1" defaultMemberUniqueName="[Data].[Part].[All]" allUniqueName="[Data].[Part].[All]" dimensionUniqueName="[Data]" displayFolder="" count="0" memberValueDatatype="130" unbalanced="0"/>
    <cacheHierarchy uniqueName="[Data].[Dist/90]" caption="Dist/90" attribute="1" defaultMemberUniqueName="[Data].[Dist/90].[All]" allUniqueName="[Data].[Dist/90].[All]" dimensionUniqueName="[Data]" displayFolder="" count="0" memberValueDatatype="130" unbalanced="0"/>
    <cacheHierarchy uniqueName="[Data].[Media]" caption="Media" attribute="1" defaultMemberUniqueName="[Data].[Media].[All]" allUniqueName="[Data].[Media].[All]" dimensionUniqueName="[Data]" displayFolder="" count="2" memberValueDatatype="5" unbalanced="0"/>
    <cacheHierarchy uniqueName="[Data].[Ps I/90]" caption="Ps I/90" attribute="1" defaultMemberUniqueName="[Data].[Ps I/90].[All]" allUniqueName="[Data].[Ps I/90].[All]" dimensionUniqueName="[Data]" displayFolder="" count="0" memberValueDatatype="5" unbalanced="0"/>
    <cacheHierarchy uniqueName="[Data].[Ps C/90]" caption="Ps C/90" attribute="1" defaultMemberUniqueName="[Data].[Ps C/90].[All]" allUniqueName="[Data].[Ps C/90].[All]" dimensionUniqueName="[Data]" displayFolder="" count="0" memberValueDatatype="5" unbalanced="0"/>
    <cacheHierarchy uniqueName="[Data].[Pases prog/90]" caption="Pases prog/90" attribute="1" defaultMemberUniqueName="[Data].[Pases prog/90].[All]" allUniqueName="[Data].[Pases prog/90].[All]" dimensionUniqueName="[Data]" displayFolder="" count="0" memberValueDatatype="5" unbalanced="0"/>
    <cacheHierarchy uniqueName="[Data].[Pas Clv/90]" caption="Pas Clv/90" attribute="1" defaultMemberUniqueName="[Data].[Pas Clv/90].[All]" allUniqueName="[Data].[Pas Clv/90].[All]" dimensionUniqueName="[Data]" displayFolder="" count="0" memberValueDatatype="130" unbalanced="0"/>
    <cacheHierarchy uniqueName="[Data].[P Clv- J Ab]" caption="P Clv- J Ab" attribute="1" defaultMemberUniqueName="[Data].[P Clv- J Ab].[All]" allUniqueName="[Data].[P Clv- J Ab].[All]" dimensionUniqueName="[Data]" displayFolder="" count="0" memberValueDatatype="20" unbalanced="0"/>
    <cacheHierarchy uniqueName="[Data].[P Clv-J Ab/90]" caption="P Clv-J Ab/90" attribute="1" defaultMemberUniqueName="[Data].[P Clv-J Ab/90].[All]" allUniqueName="[Data].[P Clv-J Ab/90].[All]" dimensionUniqueName="[Data]" displayFolder="" count="0" memberValueDatatype="5" unbalanced="0"/>
    <cacheHierarchy uniqueName="[Data].[% Pase]" caption="% Pase" attribute="1" defaultMemberUniqueName="[Data].[% Pase].[All]" allUniqueName="[Data].[% Pase].[All]" dimensionUniqueName="[Data]" displayFolder="" count="0" memberValueDatatype="5" unbalanced="0"/>
    <cacheHierarchy uniqueName="[Data].[TirP/90]" caption="TirP/90" attribute="1" defaultMemberUniqueName="[Data].[TirP/90].[All]" allUniqueName="[Data].[TirP/90].[All]" dimensionUniqueName="[Data]" displayFolder="" count="0" memberValueDatatype="130" unbalanced="0"/>
    <cacheHierarchy uniqueName="[Data].[Gol]" caption="Gol" attribute="1" defaultMemberUniqueName="[Data].[Gol].[All]" allUniqueName="[Data].[Gol].[All]" dimensionUniqueName="[Data]" displayFolder="" count="0" memberValueDatatype="20" unbalanced="0"/>
    <cacheHierarchy uniqueName="[Data].[Reg]" caption="Reg" attribute="1" defaultMemberUniqueName="[Data].[Reg].[All]" allUniqueName="[Data].[Reg].[All]" dimensionUniqueName="[Data]" displayFolder="" count="0" memberValueDatatype="20" unbalanced="0"/>
    <cacheHierarchy uniqueName="[Data].[Reg/90]" caption="Reg/90" attribute="1" defaultMemberUniqueName="[Data].[Reg/90].[All]" allUniqueName="[Data].[Reg/90].[All]" dimensionUniqueName="[Data]" displayFolder="" count="0" memberValueDatatype="130" unbalanced="0"/>
    <cacheHierarchy uniqueName="[Data].[FR]" caption="FR" attribute="1" defaultMemberUniqueName="[Data].[FR].[All]" allUniqueName="[Data].[FR].[All]" dimensionUniqueName="[Data]" displayFolder="" count="0" memberValueDatatype="20" unbalanced="0"/>
    <cacheHierarchy uniqueName="[Data].[Cab Int]" caption="Cab Int" attribute="1" defaultMemberUniqueName="[Data].[Cab Int].[All]" allUniqueName="[Data].[Cab Int].[All]" dimensionUniqueName="[Data]" displayFolder="" count="0" memberValueDatatype="20" unbalanced="0"/>
    <cacheHierarchy uniqueName="[Data].[Bal aér/90]" caption="Bal aér/90" attribute="1" defaultMemberUniqueName="[Data].[Bal aér/90].[All]" allUniqueName="[Data].[Bal aér/90].[All]" dimensionUniqueName="[Data]" displayFolder="" count="0" memberValueDatatype="5" unbalanced="0"/>
    <cacheHierarchy uniqueName="[Data].[Cab]" caption="Cab" attribute="1" defaultMemberUniqueName="[Data].[Cab].[All]" allUniqueName="[Data].[Cab].[All]" dimensionUniqueName="[Data]" displayFolder="" count="0" memberValueDatatype="20" unbalanced="0"/>
    <cacheHierarchy uniqueName="[Data].[Cab G/90]" caption="Cab G/90" attribute="1" defaultMemberUniqueName="[Data].[Cab G/90].[All]" allUniqueName="[Data].[Cab G/90].[All]" dimensionUniqueName="[Data]" displayFolder="" count="0" memberValueDatatype="5" unbalanced="0"/>
    <cacheHierarchy uniqueName="[Data].[Cab Clv/90]" caption="Cab Clv/90" attribute="1" defaultMemberUniqueName="[Data].[Cab Clv/90].[All]" allUniqueName="[Data].[Cab Clv/90].[All]" dimensionUniqueName="[Data]" displayFolder="" count="0" memberValueDatatype="5" unbalanced="0"/>
    <cacheHierarchy uniqueName="[Data].[Rcg %]" caption="Rcg %" attribute="1" defaultMemberUniqueName="[Data].[Rcg %].[All]" allUniqueName="[Data].[Rcg %].[All]" dimensionUniqueName="[Data]" displayFolder="" count="0" memberValueDatatype="5" unbalanced="0"/>
    <cacheHierarchy uniqueName="[Data].[Ent I]" caption="Ent I" attribute="1" defaultMemberUniqueName="[Data].[Ent I].[All]" allUniqueName="[Data].[Ent I].[All]" dimensionUniqueName="[Data]" displayFolder="" count="0" memberValueDatatype="20" unbalanced="0"/>
    <cacheHierarchy uniqueName="[Data].[Entr/90]" caption="Entr/90" attribute="1" defaultMemberUniqueName="[Data].[Entr/90].[All]" allUniqueName="[Data].[Entr/90].[All]" dimensionUniqueName="[Data]" displayFolder="" count="0" memberValueDatatype="5" unbalanced="0"/>
    <cacheHierarchy uniqueName="[Data].[Ent G]" caption="Ent G" attribute="1" defaultMemberUniqueName="[Data].[Ent G].[All]" allUniqueName="[Data].[Ent G].[All]" dimensionUniqueName="[Data]" displayFolder="" count="0" memberValueDatatype="20" unbalanced="0"/>
    <cacheHierarchy uniqueName="[Data].[Ent Cl]" caption="Ent Cl" attribute="1" defaultMemberUniqueName="[Data].[Ent Cl].[All]" allUniqueName="[Data].[Ent Cl].[All]" dimensionUniqueName="[Data]" displayFolder="" count="0" memberValueDatatype="20" unbalanced="0"/>
    <cacheHierarchy uniqueName="[Data].[Ent Clv/90]" caption="Ent Clv/90" attribute="1" defaultMemberUniqueName="[Data].[Ent Clv/90].[All]" allUniqueName="[Data].[Ent Clv/90].[All]" dimensionUniqueName="[Data]" displayFolder="" count="0" memberValueDatatype="5" unbalanced="0"/>
    <cacheHierarchy uniqueName="[Data].[Ent P]" caption="Ent P" attribute="1" defaultMemberUniqueName="[Data].[Ent P].[All]" allUniqueName="[Data].[Ent P].[All]" dimensionUniqueName="[Data]" displayFolder="" count="0" memberValueDatatype="5" unbalanced="0"/>
    <cacheHierarchy uniqueName="[Data].[Rob]" caption="Rob" attribute="1" defaultMemberUniqueName="[Data].[Rob].[All]" allUniqueName="[Data].[Rob].[All]" dimensionUniqueName="[Data]" displayFolder="" count="0" memberValueDatatype="20" unbalanced="0"/>
    <cacheHierarchy uniqueName="[Data].[Rob/90]" caption="Rob/90" attribute="1" defaultMemberUniqueName="[Data].[Rob/90].[All]" allUniqueName="[Data].[Rob/90].[All]" dimensionUniqueName="[Data]" displayFolder="" count="0" memberValueDatatype="5" unbalanced="0"/>
    <cacheHierarchy uniqueName="[Data].[Pres Int]" caption="Pres Int" attribute="1" defaultMemberUniqueName="[Data].[Pres Int].[All]" allUniqueName="[Data].[Pres Int].[All]" dimensionUniqueName="[Data]" displayFolder="" count="0" memberValueDatatype="20" unbalanced="0"/>
    <cacheHierarchy uniqueName="[Data].[Pres I/90]" caption="Pres I/90" attribute="1" defaultMemberUniqueName="[Data].[Pres I/90].[All]" allUniqueName="[Data].[Pres I/90].[All]" dimensionUniqueName="[Data]" displayFolder="" count="0" memberValueDatatype="5" unbalanced="0"/>
    <cacheHierarchy uniqueName="[Data].[Pres C]" caption="Pres C" attribute="1" defaultMemberUniqueName="[Data].[Pres C].[All]" allUniqueName="[Data].[Pres C].[All]" dimensionUniqueName="[Data]" displayFolder="" count="0" memberValueDatatype="20" unbalanced="0"/>
    <cacheHierarchy uniqueName="[Data].[Pres C/90]" caption="Pres C/90" attribute="1" defaultMemberUniqueName="[Data].[Pres C/90].[All]" allUniqueName="[Data].[Pres C/90].[All]" dimensionUniqueName="[Data]" displayFolder="" count="0" memberValueDatatype="5" unbalanced="0"/>
    <cacheHierarchy uniqueName="[Data].[Pos Perd/90]" caption="Pos Perd/90" attribute="1" defaultMemberUniqueName="[Data].[Pos Perd/90].[All]" allUniqueName="[Data].[Pos Perd/90].[All]" dimensionUniqueName="[Data]" displayFolder="" count="0" memberValueDatatype="5" unbalanced="0"/>
    <cacheHierarchy uniqueName="[Data].[Pos Gan/90]" caption="Pos Gan/90" attribute="1" defaultMemberUniqueName="[Data].[Pos Gan/90].[All]" allUniqueName="[Data].[Pos Gan/90].[All]" dimensionUniqueName="[Data]" displayFolder="" count="0" memberValueDatatype="5" unbalanced="0"/>
    <cacheHierarchy uniqueName="[Data].[Pos Gan/Per /90]" caption="Pos Gan/Per /90" attribute="1" defaultMemberUniqueName="[Data].[Pos Gan/Per /90].[All]" allUniqueName="[Data].[Pos Gan/Per /90].[All]" dimensionUniqueName="[Data]" displayFolder="" count="0" memberValueDatatype="5" unbalanced="0"/>
    <cacheHierarchy uniqueName="[Data].[Desp]" caption="Desp" attribute="1" defaultMemberUniqueName="[Data].[Desp].[All]" allUniqueName="[Data].[Desp].[All]" dimensionUniqueName="[Data]" displayFolder="" count="0" memberValueDatatype="20" unbalanced="0"/>
    <cacheHierarchy uniqueName="[Data].[Desp/90]" caption="Desp/90" attribute="1" defaultMemberUniqueName="[Data].[Desp/90].[All]" allUniqueName="[Data].[Desp/90].[All]" dimensionUniqueName="[Data]" displayFolder="" count="0" memberValueDatatype="5" unbalanced="0"/>
    <cacheHierarchy uniqueName="[Data].[FC]" caption="FC" attribute="1" defaultMemberUniqueName="[Data].[FC].[All]" allUniqueName="[Data].[FC].[All]" dimensionUniqueName="[Data]" displayFolder="" count="0" memberValueDatatype="20" unbalanced="0"/>
    <cacheHierarchy uniqueName="[Data].[Ama]" caption="Ama" attribute="1" defaultMemberUniqueName="[Data].[Ama].[All]" allUniqueName="[Data].[Ama].[All]" dimensionUniqueName="[Data]" displayFolder="" count="0" memberValueDatatype="20" unbalanced="0"/>
    <cacheHierarchy uniqueName="[Data].[Roj.]" caption="Roj." attribute="1" defaultMemberUniqueName="[Data].[Roj.].[All]" allUniqueName="[Data].[Roj.].[All]" dimensionUniqueName="[Data]" displayFolder="" count="0" memberValueDatatype="20" unbalanced="0"/>
    <cacheHierarchy uniqueName="[Data].[Gl Err]" caption="Gl Err" attribute="1" defaultMemberUniqueName="[Data].[Gl Err].[All]" allUniqueName="[Data].[Gl Err].[All]" dimensionUniqueName="[Data]" displayFolder="" count="0" memberValueDatatype="20" unbalanced="0"/>
    <cacheHierarchy uniqueName="[Data].[Rec]" caption="Rec" attribute="1" defaultMemberUniqueName="[Data].[Rec].[All]" allUniqueName="[Data].[Rec].[All]" dimensionUniqueName="[Data]" displayFolder="" count="0" memberValueDatatype="20" unbalanced="0"/>
    <cacheHierarchy uniqueName="[Data].[Rech/90]" caption="Rech/90" attribute="1" defaultMemberUniqueName="[Data].[Rech/90].[All]" allUniqueName="[Data].[Rech/90].[All]" dimensionUniqueName="[Data]" displayFolder="" count="0" memberValueDatatype="130" unbalanced="0"/>
    <cacheHierarchy uniqueName="[Data].[EnEq/90]" caption="EnEq/90" attribute="1" defaultMemberUniqueName="[Data].[EnEq/90].[All]" allUniqueName="[Data].[EnEq/90].[All]" dimensionUniqueName="[Data]" displayFolder="" count="0" memberValueDatatype="5" unbalanced="0"/>
    <cacheHierarchy uniqueName="[Measures].[__XL_Count Data]" caption="__XL_Count Data" measure="1" displayFolder="" measureGroup="Data" count="0" hidden="1"/>
    <cacheHierarchy uniqueName="[Measures].[__No measures defined]" caption="__No measures defined" measure="1" displayFolder="" count="0" hidden="1"/>
    <cacheHierarchy uniqueName="[Measures].[Recuento de Altura]" caption="Recuento de Altura" measure="1" displayFolder="" measureGroup="Data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e Nombre]" caption="Recuento de Nombre" measure="1" displayFolder="" measureGroup="Data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Recuento de Sueldo]" caption="Recuento de Sueldo" measure="1" displayFolder="" measureGroup="Dat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Sueldo]" caption="Recuento distinto de Sueldo" measure="1" displayFolder="" measureGroup="Dat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a de Ent Clv/90]" caption="Suma de Ent Clv/90" measure="1" displayFolder="" measureGroup="Data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Entr/90]" caption="Suma de Entr/90" measure="1" displayFolder="" measureGroup="Data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a de Ps C/90]" caption="Suma de Ps C/90" measure="1" displayFolder="" measureGroup="Data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a de % Pase]" caption="Suma de % Pase" measure="1" displayFolder="" measureGroup="Data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a de Min]" caption="Suma de Min" measure="1" displayFolder="" measureGroup="Data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a de Media]" caption="Suma de Media" measure="1" displayFolder="" measureGroup="Data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Bal aér/90]" caption="Suma de Bal aér/90" measure="1" displayFolder="" measureGroup="Data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a de Cab G/90]" caption="Suma de Cab G/90" measure="1" displayFolder="" measureGroup="Da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Cab Clv/90]" caption="Suma de Cab Clv/90" measure="1" displayFolder="" measureGroup="Data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a de Cab Int]" caption="Suma de Cab Int" measure="1" displayFolder="" measureGroup="Data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a de Cab]" caption="Suma de Cab" measure="1" displayFolder="" measureGroup="Data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Rcg %]" caption="Suma de Rcg %" measure="1" displayFolder="" measureGroup="Data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Ent P]" caption="Suma de Ent P" measure="1" displayFolder="" measureGroup="Data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EnEq/90]" caption="Suma de EnEq/90" measure="1" displayFolder="" measureGroup="Data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a de Ent G]" caption="Suma de Ent G" measure="1" displayFolder="" measureGroup="Data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a de Rob/90]" caption="Suma de Rob/90" measure="1" displayFolder="" measureGroup="Data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a de Pres C/90]" caption="Suma de Pres C/90" measure="1" displayFolder="" measureGroup="Data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Desp/90]" caption="Suma de Desp/90" measure="1" displayFolder="" measureGroup="Data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Recuento de Rech/90]" caption="Recuento de Rech/90" measure="1" displayFolder="" measureGroup="Data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a de Ama]" caption="Suma de Ama" measure="1" displayFolder="" measureGroup="Data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a de Pos Gan/90]" caption="Suma de Pos Gan/90" measure="1" displayFolder="" measureGroup="Data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Pos Perd/90]" caption="Suma de Pos Perd/90" measure="1" displayFolder="" measureGroup="Data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a de Pos Gan/Per /90]" caption="Suma de Pos Gan/Per /90" measure="1" displayFolder="" measureGroup="Data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</cacheHierarchies>
  <kpis count="0"/>
  <dimensions count="2">
    <dimension name="Data" uniqueName="[Data]" caption="Data"/>
    <dimension measure="1" name="Measures" uniqueName="[Measures]" caption="Measures"/>
  </dimensions>
  <measureGroups count="1">
    <measureGroup name="Data" caption="Data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" refreshedDate="45116.75024710648" backgroundQuery="1" createdVersion="8" refreshedVersion="8" minRefreshableVersion="3" recordCount="0" supportSubquery="1" supportAdvancedDrill="1" xr:uid="{A5A86016-F23A-4006-9E9C-CEC5F20F234E}">
  <cacheSource type="external" connectionId="1"/>
  <cacheFields count="6">
    <cacheField name="[Data].[Nombre].[Nombre]" caption="Nombre" numFmtId="0" level="1">
      <sharedItems count="26">
        <s v="Álex Pérez"/>
        <s v="Attila Szalai"/>
        <s v="Damián Canedo"/>
        <s v="Dan Happe"/>
        <s v="David Carmo"/>
        <s v="David Domgjoni"/>
        <s v="Dimitrie Deumi Nappi"/>
        <s v="Dominic Revan"/>
        <s v="Ertuğrul Kurtuluş"/>
        <s v="Jorge Herrando"/>
        <s v="José Manuel Copete"/>
        <s v="Luis Binks"/>
        <s v="Luka Lochoshvili"/>
        <s v="Mariano Fazio"/>
        <s v="Marin Pongračić"/>
        <s v="Matthias Ginter"/>
        <s v="Maxime Estève"/>
        <s v="Nicolás Meriano"/>
        <s v="Nicolas Taravel"/>
        <s v="Nikos Michelis"/>
        <s v="Ousmane Diomandé"/>
        <s v="Patric Pfeiffer"/>
        <s v="Samuel Biek"/>
        <s v="Samuel Gómez"/>
        <s v="Strahinja Pavlović"/>
        <s v="Stuart Findlay"/>
      </sharedItems>
    </cacheField>
    <cacheField name="[Measures].[Suma de Ent Clv/90]" caption="Suma de Ent Clv/90" numFmtId="0" hierarchy="57" level="32767"/>
    <cacheField name="[Measures].[Suma de Entr/90]" caption="Suma de Entr/90" numFmtId="0" hierarchy="58" level="32767"/>
    <cacheField name="[Measures].[Suma de Rob/90]" caption="Suma de Rob/90" numFmtId="0" hierarchy="72" level="32767"/>
    <cacheField name="[Measures].[Suma de Pres C/90]" caption="Suma de Pres C/90" numFmtId="0" hierarchy="73" level="32767"/>
    <cacheField name="[Measures].[Suma de Desp/90]" caption="Suma de Desp/90" numFmtId="0" hierarchy="74" level="32767"/>
  </cacheFields>
  <cacheHierarchies count="80">
    <cacheHierarchy uniqueName="[Data].[Nombre]" caption="Nombre" attribute="1" defaultMemberUniqueName="[Data].[Nombre].[All]" allUniqueName="[Data].[Nombre].[All]" dimensionUniqueName="[Data]" displayFolder="" count="2" memberValueDatatype="130" unbalanced="0">
      <fieldsUsage count="2">
        <fieldUsage x="-1"/>
        <fieldUsage x="0"/>
      </fieldsUsage>
    </cacheHierarchy>
    <cacheHierarchy uniqueName="[Data].[Altura]" caption="Altura" attribute="1" defaultMemberUniqueName="[Data].[Altura].[All]" allUniqueName="[Data].[Altura].[All]" dimensionUniqueName="[Data]" displayFolder="" count="2" memberValueDatatype="20" unbalanced="0"/>
    <cacheHierarchy uniqueName="[Data].[Peso]" caption="Peso" attribute="1" defaultMemberUniqueName="[Data].[Peso].[All]" allUniqueName="[Data].[Peso].[All]" dimensionUniqueName="[Data]" displayFolder="" count="0" memberValueDatatype="130" unbalanced="0"/>
    <cacheHierarchy uniqueName="[Data].[Final]" caption="Final" attribute="1" time="1" defaultMemberUniqueName="[Data].[Final].[All]" allUniqueName="[Data].[Final].[All]" dimensionUniqueName="[Data]" displayFolder="" count="0" memberValueDatatype="7" unbalanced="0"/>
    <cacheHierarchy uniqueName="[Data].[Sueldo]" caption="Sueldo" attribute="1" defaultMemberUniqueName="[Data].[Sueldo].[All]" allUniqueName="[Data].[Sueldo].[All]" dimensionUniqueName="[Data]" displayFolder="" count="2" memberValueDatatype="130" unbalanced="0"/>
    <cacheHierarchy uniqueName="[Data].[Min]" caption="Min" attribute="1" defaultMemberUniqueName="[Data].[Min].[All]" allUniqueName="[Data].[Min].[All]" dimensionUniqueName="[Data]" displayFolder="" count="2" memberValueDatatype="20" unbalanced="0"/>
    <cacheHierarchy uniqueName="[Data].[Part]" caption="Part" attribute="1" defaultMemberUniqueName="[Data].[Part].[All]" allUniqueName="[Data].[Part].[All]" dimensionUniqueName="[Data]" displayFolder="" count="0" memberValueDatatype="130" unbalanced="0"/>
    <cacheHierarchy uniqueName="[Data].[Dist/90]" caption="Dist/90" attribute="1" defaultMemberUniqueName="[Data].[Dist/90].[All]" allUniqueName="[Data].[Dist/90].[All]" dimensionUniqueName="[Data]" displayFolder="" count="0" memberValueDatatype="130" unbalanced="0"/>
    <cacheHierarchy uniqueName="[Data].[Media]" caption="Media" attribute="1" defaultMemberUniqueName="[Data].[Media].[All]" allUniqueName="[Data].[Media].[All]" dimensionUniqueName="[Data]" displayFolder="" count="2" memberValueDatatype="5" unbalanced="0"/>
    <cacheHierarchy uniqueName="[Data].[Ps I/90]" caption="Ps I/90" attribute="1" defaultMemberUniqueName="[Data].[Ps I/90].[All]" allUniqueName="[Data].[Ps I/90].[All]" dimensionUniqueName="[Data]" displayFolder="" count="0" memberValueDatatype="5" unbalanced="0"/>
    <cacheHierarchy uniqueName="[Data].[Ps C/90]" caption="Ps C/90" attribute="1" defaultMemberUniqueName="[Data].[Ps C/90].[All]" allUniqueName="[Data].[Ps C/90].[All]" dimensionUniqueName="[Data]" displayFolder="" count="0" memberValueDatatype="5" unbalanced="0"/>
    <cacheHierarchy uniqueName="[Data].[Pases prog/90]" caption="Pases prog/90" attribute="1" defaultMemberUniqueName="[Data].[Pases prog/90].[All]" allUniqueName="[Data].[Pases prog/90].[All]" dimensionUniqueName="[Data]" displayFolder="" count="0" memberValueDatatype="5" unbalanced="0"/>
    <cacheHierarchy uniqueName="[Data].[Pas Clv/90]" caption="Pas Clv/90" attribute="1" defaultMemberUniqueName="[Data].[Pas Clv/90].[All]" allUniqueName="[Data].[Pas Clv/90].[All]" dimensionUniqueName="[Data]" displayFolder="" count="0" memberValueDatatype="130" unbalanced="0"/>
    <cacheHierarchy uniqueName="[Data].[P Clv- J Ab]" caption="P Clv- J Ab" attribute="1" defaultMemberUniqueName="[Data].[P Clv- J Ab].[All]" allUniqueName="[Data].[P Clv- J Ab].[All]" dimensionUniqueName="[Data]" displayFolder="" count="0" memberValueDatatype="20" unbalanced="0"/>
    <cacheHierarchy uniqueName="[Data].[P Clv-J Ab/90]" caption="P Clv-J Ab/90" attribute="1" defaultMemberUniqueName="[Data].[P Clv-J Ab/90].[All]" allUniqueName="[Data].[P Clv-J Ab/90].[All]" dimensionUniqueName="[Data]" displayFolder="" count="0" memberValueDatatype="5" unbalanced="0"/>
    <cacheHierarchy uniqueName="[Data].[% Pase]" caption="% Pase" attribute="1" defaultMemberUniqueName="[Data].[% Pase].[All]" allUniqueName="[Data].[% Pase].[All]" dimensionUniqueName="[Data]" displayFolder="" count="0" memberValueDatatype="5" unbalanced="0"/>
    <cacheHierarchy uniqueName="[Data].[TirP/90]" caption="TirP/90" attribute="1" defaultMemberUniqueName="[Data].[TirP/90].[All]" allUniqueName="[Data].[TirP/90].[All]" dimensionUniqueName="[Data]" displayFolder="" count="0" memberValueDatatype="130" unbalanced="0"/>
    <cacheHierarchy uniqueName="[Data].[Gol]" caption="Gol" attribute="1" defaultMemberUniqueName="[Data].[Gol].[All]" allUniqueName="[Data].[Gol].[All]" dimensionUniqueName="[Data]" displayFolder="" count="0" memberValueDatatype="20" unbalanced="0"/>
    <cacheHierarchy uniqueName="[Data].[Reg]" caption="Reg" attribute="1" defaultMemberUniqueName="[Data].[Reg].[All]" allUniqueName="[Data].[Reg].[All]" dimensionUniqueName="[Data]" displayFolder="" count="0" memberValueDatatype="20" unbalanced="0"/>
    <cacheHierarchy uniqueName="[Data].[Reg/90]" caption="Reg/90" attribute="1" defaultMemberUniqueName="[Data].[Reg/90].[All]" allUniqueName="[Data].[Reg/90].[All]" dimensionUniqueName="[Data]" displayFolder="" count="0" memberValueDatatype="130" unbalanced="0"/>
    <cacheHierarchy uniqueName="[Data].[FR]" caption="FR" attribute="1" defaultMemberUniqueName="[Data].[FR].[All]" allUniqueName="[Data].[FR].[All]" dimensionUniqueName="[Data]" displayFolder="" count="0" memberValueDatatype="20" unbalanced="0"/>
    <cacheHierarchy uniqueName="[Data].[Cab Int]" caption="Cab Int" attribute="1" defaultMemberUniqueName="[Data].[Cab Int].[All]" allUniqueName="[Data].[Cab Int].[All]" dimensionUniqueName="[Data]" displayFolder="" count="0" memberValueDatatype="20" unbalanced="0"/>
    <cacheHierarchy uniqueName="[Data].[Bal aér/90]" caption="Bal aér/90" attribute="1" defaultMemberUniqueName="[Data].[Bal aér/90].[All]" allUniqueName="[Data].[Bal aér/90].[All]" dimensionUniqueName="[Data]" displayFolder="" count="0" memberValueDatatype="5" unbalanced="0"/>
    <cacheHierarchy uniqueName="[Data].[Cab]" caption="Cab" attribute="1" defaultMemberUniqueName="[Data].[Cab].[All]" allUniqueName="[Data].[Cab].[All]" dimensionUniqueName="[Data]" displayFolder="" count="0" memberValueDatatype="20" unbalanced="0"/>
    <cacheHierarchy uniqueName="[Data].[Cab G/90]" caption="Cab G/90" attribute="1" defaultMemberUniqueName="[Data].[Cab G/90].[All]" allUniqueName="[Data].[Cab G/90].[All]" dimensionUniqueName="[Data]" displayFolder="" count="0" memberValueDatatype="5" unbalanced="0"/>
    <cacheHierarchy uniqueName="[Data].[Cab Clv/90]" caption="Cab Clv/90" attribute="1" defaultMemberUniqueName="[Data].[Cab Clv/90].[All]" allUniqueName="[Data].[Cab Clv/90].[All]" dimensionUniqueName="[Data]" displayFolder="" count="0" memberValueDatatype="5" unbalanced="0"/>
    <cacheHierarchy uniqueName="[Data].[Rcg %]" caption="Rcg %" attribute="1" defaultMemberUniqueName="[Data].[Rcg %].[All]" allUniqueName="[Data].[Rcg %].[All]" dimensionUniqueName="[Data]" displayFolder="" count="0" memberValueDatatype="5" unbalanced="0"/>
    <cacheHierarchy uniqueName="[Data].[Ent I]" caption="Ent I" attribute="1" defaultMemberUniqueName="[Data].[Ent I].[All]" allUniqueName="[Data].[Ent I].[All]" dimensionUniqueName="[Data]" displayFolder="" count="0" memberValueDatatype="20" unbalanced="0"/>
    <cacheHierarchy uniqueName="[Data].[Entr/90]" caption="Entr/90" attribute="1" defaultMemberUniqueName="[Data].[Entr/90].[All]" allUniqueName="[Data].[Entr/90].[All]" dimensionUniqueName="[Data]" displayFolder="" count="0" memberValueDatatype="5" unbalanced="0"/>
    <cacheHierarchy uniqueName="[Data].[Ent G]" caption="Ent G" attribute="1" defaultMemberUniqueName="[Data].[Ent G].[All]" allUniqueName="[Data].[Ent G].[All]" dimensionUniqueName="[Data]" displayFolder="" count="0" memberValueDatatype="20" unbalanced="0"/>
    <cacheHierarchy uniqueName="[Data].[Ent Cl]" caption="Ent Cl" attribute="1" defaultMemberUniqueName="[Data].[Ent Cl].[All]" allUniqueName="[Data].[Ent Cl].[All]" dimensionUniqueName="[Data]" displayFolder="" count="0" memberValueDatatype="20" unbalanced="0"/>
    <cacheHierarchy uniqueName="[Data].[Ent Clv/90]" caption="Ent Clv/90" attribute="1" defaultMemberUniqueName="[Data].[Ent Clv/90].[All]" allUniqueName="[Data].[Ent Clv/90].[All]" dimensionUniqueName="[Data]" displayFolder="" count="0" memberValueDatatype="5" unbalanced="0"/>
    <cacheHierarchy uniqueName="[Data].[Ent P]" caption="Ent P" attribute="1" defaultMemberUniqueName="[Data].[Ent P].[All]" allUniqueName="[Data].[Ent P].[All]" dimensionUniqueName="[Data]" displayFolder="" count="0" memberValueDatatype="5" unbalanced="0"/>
    <cacheHierarchy uniqueName="[Data].[Rob]" caption="Rob" attribute="1" defaultMemberUniqueName="[Data].[Rob].[All]" allUniqueName="[Data].[Rob].[All]" dimensionUniqueName="[Data]" displayFolder="" count="0" memberValueDatatype="20" unbalanced="0"/>
    <cacheHierarchy uniqueName="[Data].[Rob/90]" caption="Rob/90" attribute="1" defaultMemberUniqueName="[Data].[Rob/90].[All]" allUniqueName="[Data].[Rob/90].[All]" dimensionUniqueName="[Data]" displayFolder="" count="0" memberValueDatatype="5" unbalanced="0"/>
    <cacheHierarchy uniqueName="[Data].[Pres Int]" caption="Pres Int" attribute="1" defaultMemberUniqueName="[Data].[Pres Int].[All]" allUniqueName="[Data].[Pres Int].[All]" dimensionUniqueName="[Data]" displayFolder="" count="0" memberValueDatatype="20" unbalanced="0"/>
    <cacheHierarchy uniqueName="[Data].[Pres I/90]" caption="Pres I/90" attribute="1" defaultMemberUniqueName="[Data].[Pres I/90].[All]" allUniqueName="[Data].[Pres I/90].[All]" dimensionUniqueName="[Data]" displayFolder="" count="0" memberValueDatatype="5" unbalanced="0"/>
    <cacheHierarchy uniqueName="[Data].[Pres C]" caption="Pres C" attribute="1" defaultMemberUniqueName="[Data].[Pres C].[All]" allUniqueName="[Data].[Pres C].[All]" dimensionUniqueName="[Data]" displayFolder="" count="0" memberValueDatatype="20" unbalanced="0"/>
    <cacheHierarchy uniqueName="[Data].[Pres C/90]" caption="Pres C/90" attribute="1" defaultMemberUniqueName="[Data].[Pres C/90].[All]" allUniqueName="[Data].[Pres C/90].[All]" dimensionUniqueName="[Data]" displayFolder="" count="0" memberValueDatatype="5" unbalanced="0"/>
    <cacheHierarchy uniqueName="[Data].[Pos Perd/90]" caption="Pos Perd/90" attribute="1" defaultMemberUniqueName="[Data].[Pos Perd/90].[All]" allUniqueName="[Data].[Pos Perd/90].[All]" dimensionUniqueName="[Data]" displayFolder="" count="0" memberValueDatatype="5" unbalanced="0"/>
    <cacheHierarchy uniqueName="[Data].[Pos Gan/90]" caption="Pos Gan/90" attribute="1" defaultMemberUniqueName="[Data].[Pos Gan/90].[All]" allUniqueName="[Data].[Pos Gan/90].[All]" dimensionUniqueName="[Data]" displayFolder="" count="0" memberValueDatatype="5" unbalanced="0"/>
    <cacheHierarchy uniqueName="[Data].[Pos Gan/Per /90]" caption="Pos Gan/Per /90" attribute="1" defaultMemberUniqueName="[Data].[Pos Gan/Per /90].[All]" allUniqueName="[Data].[Pos Gan/Per /90].[All]" dimensionUniqueName="[Data]" displayFolder="" count="0" memberValueDatatype="5" unbalanced="0"/>
    <cacheHierarchy uniqueName="[Data].[Desp]" caption="Desp" attribute="1" defaultMemberUniqueName="[Data].[Desp].[All]" allUniqueName="[Data].[Desp].[All]" dimensionUniqueName="[Data]" displayFolder="" count="0" memberValueDatatype="20" unbalanced="0"/>
    <cacheHierarchy uniqueName="[Data].[Desp/90]" caption="Desp/90" attribute="1" defaultMemberUniqueName="[Data].[Desp/90].[All]" allUniqueName="[Data].[Desp/90].[All]" dimensionUniqueName="[Data]" displayFolder="" count="0" memberValueDatatype="5" unbalanced="0"/>
    <cacheHierarchy uniqueName="[Data].[FC]" caption="FC" attribute="1" defaultMemberUniqueName="[Data].[FC].[All]" allUniqueName="[Data].[FC].[All]" dimensionUniqueName="[Data]" displayFolder="" count="0" memberValueDatatype="20" unbalanced="0"/>
    <cacheHierarchy uniqueName="[Data].[Ama]" caption="Ama" attribute="1" defaultMemberUniqueName="[Data].[Ama].[All]" allUniqueName="[Data].[Ama].[All]" dimensionUniqueName="[Data]" displayFolder="" count="0" memberValueDatatype="20" unbalanced="0"/>
    <cacheHierarchy uniqueName="[Data].[Roj.]" caption="Roj." attribute="1" defaultMemberUniqueName="[Data].[Roj.].[All]" allUniqueName="[Data].[Roj.].[All]" dimensionUniqueName="[Data]" displayFolder="" count="0" memberValueDatatype="20" unbalanced="0"/>
    <cacheHierarchy uniqueName="[Data].[Gl Err]" caption="Gl Err" attribute="1" defaultMemberUniqueName="[Data].[Gl Err].[All]" allUniqueName="[Data].[Gl Err].[All]" dimensionUniqueName="[Data]" displayFolder="" count="0" memberValueDatatype="20" unbalanced="0"/>
    <cacheHierarchy uniqueName="[Data].[Rec]" caption="Rec" attribute="1" defaultMemberUniqueName="[Data].[Rec].[All]" allUniqueName="[Data].[Rec].[All]" dimensionUniqueName="[Data]" displayFolder="" count="0" memberValueDatatype="20" unbalanced="0"/>
    <cacheHierarchy uniqueName="[Data].[Rech/90]" caption="Rech/90" attribute="1" defaultMemberUniqueName="[Data].[Rech/90].[All]" allUniqueName="[Data].[Rech/90].[All]" dimensionUniqueName="[Data]" displayFolder="" count="0" memberValueDatatype="130" unbalanced="0"/>
    <cacheHierarchy uniqueName="[Data].[EnEq/90]" caption="EnEq/90" attribute="1" defaultMemberUniqueName="[Data].[EnEq/90].[All]" allUniqueName="[Data].[EnEq/90].[All]" dimensionUniqueName="[Data]" displayFolder="" count="0" memberValueDatatype="5" unbalanced="0"/>
    <cacheHierarchy uniqueName="[Measures].[__XL_Count Data]" caption="__XL_Count Data" measure="1" displayFolder="" measureGroup="Data" count="0" hidden="1"/>
    <cacheHierarchy uniqueName="[Measures].[__No measures defined]" caption="__No measures defined" measure="1" displayFolder="" count="0" hidden="1"/>
    <cacheHierarchy uniqueName="[Measures].[Recuento de Altura]" caption="Recuento de Altura" measure="1" displayFolder="" measureGroup="Data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e Nombre]" caption="Recuento de Nombre" measure="1" displayFolder="" measureGroup="Data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Recuento de Sueldo]" caption="Recuento de Sueldo" measure="1" displayFolder="" measureGroup="Dat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Sueldo]" caption="Recuento distinto de Sueldo" measure="1" displayFolder="" measureGroup="Dat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a de Ent Clv/90]" caption="Suma de Ent Clv/90" measure="1" displayFolder="" measureGroup="Da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Entr/90]" caption="Suma de Entr/90" measure="1" displayFolder="" measureGroup="Data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a de Ps C/90]" caption="Suma de Ps C/90" measure="1" displayFolder="" measureGroup="Data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a de % Pase]" caption="Suma de % Pase" measure="1" displayFolder="" measureGroup="Data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a de Min]" caption="Suma de Min" measure="1" displayFolder="" measureGroup="Data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a de Media]" caption="Suma de Media" measure="1" displayFolder="" measureGroup="Data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Bal aér/90]" caption="Suma de Bal aér/90" measure="1" displayFolder="" measureGroup="Data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a de Cab G/90]" caption="Suma de Cab G/90" measure="1" displayFolder="" measureGroup="Data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Cab Clv/90]" caption="Suma de Cab Clv/90" measure="1" displayFolder="" measureGroup="Data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a de Cab Int]" caption="Suma de Cab Int" measure="1" displayFolder="" measureGroup="Data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a de Cab]" caption="Suma de Cab" measure="1" displayFolder="" measureGroup="Data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Rcg %]" caption="Suma de Rcg %" measure="1" displayFolder="" measureGroup="Data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Ent P]" caption="Suma de Ent P" measure="1" displayFolder="" measureGroup="Data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EnEq/90]" caption="Suma de EnEq/90" measure="1" displayFolder="" measureGroup="Data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a de Ent G]" caption="Suma de Ent G" measure="1" displayFolder="" measureGroup="Data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a de Rob/90]" caption="Suma de Rob/90" measure="1" displayFolder="" measureGroup="Data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a de Pres C/90]" caption="Suma de Pres C/90" measure="1" displayFolder="" measureGroup="Data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Desp/90]" caption="Suma de Desp/90" measure="1" displayFolder="" measureGroup="Data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Recuento de Rech/90]" caption="Recuento de Rech/90" measure="1" displayFolder="" measureGroup="Data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a de Ama]" caption="Suma de Ama" measure="1" displayFolder="" measureGroup="Data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a de Pos Gan/90]" caption="Suma de Pos Gan/90" measure="1" displayFolder="" measureGroup="Data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Pos Perd/90]" caption="Suma de Pos Perd/90" measure="1" displayFolder="" measureGroup="Data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a de Pos Gan/Per /90]" caption="Suma de Pos Gan/Per /90" measure="1" displayFolder="" measureGroup="Data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</cacheHierarchies>
  <kpis count="0"/>
  <dimensions count="2">
    <dimension name="Data" uniqueName="[Data]" caption="Data"/>
    <dimension measure="1" name="Measures" uniqueName="[Measures]" caption="Measures"/>
  </dimensions>
  <measureGroups count="1">
    <measureGroup name="Data" caption="Data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" refreshedDate="45116.750247685188" backgroundQuery="1" createdVersion="8" refreshedVersion="8" minRefreshableVersion="3" recordCount="0" supportSubquery="1" supportAdvancedDrill="1" xr:uid="{DD264757-82BB-4BCD-BB9D-368C18791F98}">
  <cacheSource type="external" connectionId="1"/>
  <cacheFields count="4">
    <cacheField name="[Data].[Nombre].[Nombre]" caption="Nombre" numFmtId="0" level="1">
      <sharedItems count="26">
        <s v="Álex Pérez"/>
        <s v="Attila Szalai"/>
        <s v="Damián Canedo"/>
        <s v="Dan Happe"/>
        <s v="David Carmo"/>
        <s v="David Domgjoni"/>
        <s v="Dimitrie Deumi Nappi"/>
        <s v="Dominic Revan"/>
        <s v="Ertuğrul Kurtuluş"/>
        <s v="Jorge Herrando"/>
        <s v="José Manuel Copete"/>
        <s v="Luis Binks"/>
        <s v="Luka Lochoshvili"/>
        <s v="Mariano Fazio"/>
        <s v="Marin Pongračić"/>
        <s v="Matthias Ginter"/>
        <s v="Maxime Estève"/>
        <s v="Nicolás Meriano"/>
        <s v="Nicolas Taravel"/>
        <s v="Nikos Michelis"/>
        <s v="Ousmane Diomandé"/>
        <s v="Patric Pfeiffer"/>
        <s v="Samuel Biek"/>
        <s v="Samuel Gómez"/>
        <s v="Strahinja Pavlović"/>
        <s v="Stuart Findlay"/>
      </sharedItems>
    </cacheField>
    <cacheField name="[Measures].[Suma de Pos Gan/Per /90]" caption="Suma de Pos Gan/Per /90" numFmtId="0" hierarchy="79" level="32767"/>
    <cacheField name="[Measures].[Suma de Pos Gan/90]" caption="Suma de Pos Gan/90" numFmtId="0" hierarchy="77" level="32767"/>
    <cacheField name="[Measures].[Suma de Pos Perd/90]" caption="Suma de Pos Perd/90" numFmtId="0" hierarchy="78" level="32767"/>
  </cacheFields>
  <cacheHierarchies count="80">
    <cacheHierarchy uniqueName="[Data].[Nombre]" caption="Nombre" attribute="1" defaultMemberUniqueName="[Data].[Nombre].[All]" allUniqueName="[Data].[Nombre].[All]" dimensionUniqueName="[Data]" displayFolder="" count="2" memberValueDatatype="130" unbalanced="0">
      <fieldsUsage count="2">
        <fieldUsage x="-1"/>
        <fieldUsage x="0"/>
      </fieldsUsage>
    </cacheHierarchy>
    <cacheHierarchy uniqueName="[Data].[Altura]" caption="Altura" attribute="1" defaultMemberUniqueName="[Data].[Altura].[All]" allUniqueName="[Data].[Altura].[All]" dimensionUniqueName="[Data]" displayFolder="" count="2" memberValueDatatype="20" unbalanced="0"/>
    <cacheHierarchy uniqueName="[Data].[Peso]" caption="Peso" attribute="1" defaultMemberUniqueName="[Data].[Peso].[All]" allUniqueName="[Data].[Peso].[All]" dimensionUniqueName="[Data]" displayFolder="" count="0" memberValueDatatype="130" unbalanced="0"/>
    <cacheHierarchy uniqueName="[Data].[Final]" caption="Final" attribute="1" time="1" defaultMemberUniqueName="[Data].[Final].[All]" allUniqueName="[Data].[Final].[All]" dimensionUniqueName="[Data]" displayFolder="" count="0" memberValueDatatype="7" unbalanced="0"/>
    <cacheHierarchy uniqueName="[Data].[Sueldo]" caption="Sueldo" attribute="1" defaultMemberUniqueName="[Data].[Sueldo].[All]" allUniqueName="[Data].[Sueldo].[All]" dimensionUniqueName="[Data]" displayFolder="" count="2" memberValueDatatype="130" unbalanced="0"/>
    <cacheHierarchy uniqueName="[Data].[Min]" caption="Min" attribute="1" defaultMemberUniqueName="[Data].[Min].[All]" allUniqueName="[Data].[Min].[All]" dimensionUniqueName="[Data]" displayFolder="" count="2" memberValueDatatype="20" unbalanced="0"/>
    <cacheHierarchy uniqueName="[Data].[Part]" caption="Part" attribute="1" defaultMemberUniqueName="[Data].[Part].[All]" allUniqueName="[Data].[Part].[All]" dimensionUniqueName="[Data]" displayFolder="" count="0" memberValueDatatype="130" unbalanced="0"/>
    <cacheHierarchy uniqueName="[Data].[Dist/90]" caption="Dist/90" attribute="1" defaultMemberUniqueName="[Data].[Dist/90].[All]" allUniqueName="[Data].[Dist/90].[All]" dimensionUniqueName="[Data]" displayFolder="" count="0" memberValueDatatype="130" unbalanced="0"/>
    <cacheHierarchy uniqueName="[Data].[Media]" caption="Media" attribute="1" defaultMemberUniqueName="[Data].[Media].[All]" allUniqueName="[Data].[Media].[All]" dimensionUniqueName="[Data]" displayFolder="" count="2" memberValueDatatype="5" unbalanced="0"/>
    <cacheHierarchy uniqueName="[Data].[Ps I/90]" caption="Ps I/90" attribute="1" defaultMemberUniqueName="[Data].[Ps I/90].[All]" allUniqueName="[Data].[Ps I/90].[All]" dimensionUniqueName="[Data]" displayFolder="" count="0" memberValueDatatype="5" unbalanced="0"/>
    <cacheHierarchy uniqueName="[Data].[Ps C/90]" caption="Ps C/90" attribute="1" defaultMemberUniqueName="[Data].[Ps C/90].[All]" allUniqueName="[Data].[Ps C/90].[All]" dimensionUniqueName="[Data]" displayFolder="" count="0" memberValueDatatype="5" unbalanced="0"/>
    <cacheHierarchy uniqueName="[Data].[Pases prog/90]" caption="Pases prog/90" attribute="1" defaultMemberUniqueName="[Data].[Pases prog/90].[All]" allUniqueName="[Data].[Pases prog/90].[All]" dimensionUniqueName="[Data]" displayFolder="" count="0" memberValueDatatype="5" unbalanced="0"/>
    <cacheHierarchy uniqueName="[Data].[Pas Clv/90]" caption="Pas Clv/90" attribute="1" defaultMemberUniqueName="[Data].[Pas Clv/90].[All]" allUniqueName="[Data].[Pas Clv/90].[All]" dimensionUniqueName="[Data]" displayFolder="" count="0" memberValueDatatype="130" unbalanced="0"/>
    <cacheHierarchy uniqueName="[Data].[P Clv- J Ab]" caption="P Clv- J Ab" attribute="1" defaultMemberUniqueName="[Data].[P Clv- J Ab].[All]" allUniqueName="[Data].[P Clv- J Ab].[All]" dimensionUniqueName="[Data]" displayFolder="" count="0" memberValueDatatype="20" unbalanced="0"/>
    <cacheHierarchy uniqueName="[Data].[P Clv-J Ab/90]" caption="P Clv-J Ab/90" attribute="1" defaultMemberUniqueName="[Data].[P Clv-J Ab/90].[All]" allUniqueName="[Data].[P Clv-J Ab/90].[All]" dimensionUniqueName="[Data]" displayFolder="" count="0" memberValueDatatype="5" unbalanced="0"/>
    <cacheHierarchy uniqueName="[Data].[% Pase]" caption="% Pase" attribute="1" defaultMemberUniqueName="[Data].[% Pase].[All]" allUniqueName="[Data].[% Pase].[All]" dimensionUniqueName="[Data]" displayFolder="" count="0" memberValueDatatype="5" unbalanced="0"/>
    <cacheHierarchy uniqueName="[Data].[TirP/90]" caption="TirP/90" attribute="1" defaultMemberUniqueName="[Data].[TirP/90].[All]" allUniqueName="[Data].[TirP/90].[All]" dimensionUniqueName="[Data]" displayFolder="" count="0" memberValueDatatype="130" unbalanced="0"/>
    <cacheHierarchy uniqueName="[Data].[Gol]" caption="Gol" attribute="1" defaultMemberUniqueName="[Data].[Gol].[All]" allUniqueName="[Data].[Gol].[All]" dimensionUniqueName="[Data]" displayFolder="" count="0" memberValueDatatype="20" unbalanced="0"/>
    <cacheHierarchy uniqueName="[Data].[Reg]" caption="Reg" attribute="1" defaultMemberUniqueName="[Data].[Reg].[All]" allUniqueName="[Data].[Reg].[All]" dimensionUniqueName="[Data]" displayFolder="" count="0" memberValueDatatype="20" unbalanced="0"/>
    <cacheHierarchy uniqueName="[Data].[Reg/90]" caption="Reg/90" attribute="1" defaultMemberUniqueName="[Data].[Reg/90].[All]" allUniqueName="[Data].[Reg/90].[All]" dimensionUniqueName="[Data]" displayFolder="" count="0" memberValueDatatype="130" unbalanced="0"/>
    <cacheHierarchy uniqueName="[Data].[FR]" caption="FR" attribute="1" defaultMemberUniqueName="[Data].[FR].[All]" allUniqueName="[Data].[FR].[All]" dimensionUniqueName="[Data]" displayFolder="" count="0" memberValueDatatype="20" unbalanced="0"/>
    <cacheHierarchy uniqueName="[Data].[Cab Int]" caption="Cab Int" attribute="1" defaultMemberUniqueName="[Data].[Cab Int].[All]" allUniqueName="[Data].[Cab Int].[All]" dimensionUniqueName="[Data]" displayFolder="" count="0" memberValueDatatype="20" unbalanced="0"/>
    <cacheHierarchy uniqueName="[Data].[Bal aér/90]" caption="Bal aér/90" attribute="1" defaultMemberUniqueName="[Data].[Bal aér/90].[All]" allUniqueName="[Data].[Bal aér/90].[All]" dimensionUniqueName="[Data]" displayFolder="" count="0" memberValueDatatype="5" unbalanced="0"/>
    <cacheHierarchy uniqueName="[Data].[Cab]" caption="Cab" attribute="1" defaultMemberUniqueName="[Data].[Cab].[All]" allUniqueName="[Data].[Cab].[All]" dimensionUniqueName="[Data]" displayFolder="" count="0" memberValueDatatype="20" unbalanced="0"/>
    <cacheHierarchy uniqueName="[Data].[Cab G/90]" caption="Cab G/90" attribute="1" defaultMemberUniqueName="[Data].[Cab G/90].[All]" allUniqueName="[Data].[Cab G/90].[All]" dimensionUniqueName="[Data]" displayFolder="" count="0" memberValueDatatype="5" unbalanced="0"/>
    <cacheHierarchy uniqueName="[Data].[Cab Clv/90]" caption="Cab Clv/90" attribute="1" defaultMemberUniqueName="[Data].[Cab Clv/90].[All]" allUniqueName="[Data].[Cab Clv/90].[All]" dimensionUniqueName="[Data]" displayFolder="" count="0" memberValueDatatype="5" unbalanced="0"/>
    <cacheHierarchy uniqueName="[Data].[Rcg %]" caption="Rcg %" attribute="1" defaultMemberUniqueName="[Data].[Rcg %].[All]" allUniqueName="[Data].[Rcg %].[All]" dimensionUniqueName="[Data]" displayFolder="" count="0" memberValueDatatype="5" unbalanced="0"/>
    <cacheHierarchy uniqueName="[Data].[Ent I]" caption="Ent I" attribute="1" defaultMemberUniqueName="[Data].[Ent I].[All]" allUniqueName="[Data].[Ent I].[All]" dimensionUniqueName="[Data]" displayFolder="" count="0" memberValueDatatype="20" unbalanced="0"/>
    <cacheHierarchy uniqueName="[Data].[Entr/90]" caption="Entr/90" attribute="1" defaultMemberUniqueName="[Data].[Entr/90].[All]" allUniqueName="[Data].[Entr/90].[All]" dimensionUniqueName="[Data]" displayFolder="" count="0" memberValueDatatype="5" unbalanced="0"/>
    <cacheHierarchy uniqueName="[Data].[Ent G]" caption="Ent G" attribute="1" defaultMemberUniqueName="[Data].[Ent G].[All]" allUniqueName="[Data].[Ent G].[All]" dimensionUniqueName="[Data]" displayFolder="" count="0" memberValueDatatype="20" unbalanced="0"/>
    <cacheHierarchy uniqueName="[Data].[Ent Cl]" caption="Ent Cl" attribute="1" defaultMemberUniqueName="[Data].[Ent Cl].[All]" allUniqueName="[Data].[Ent Cl].[All]" dimensionUniqueName="[Data]" displayFolder="" count="0" memberValueDatatype="20" unbalanced="0"/>
    <cacheHierarchy uniqueName="[Data].[Ent Clv/90]" caption="Ent Clv/90" attribute="1" defaultMemberUniqueName="[Data].[Ent Clv/90].[All]" allUniqueName="[Data].[Ent Clv/90].[All]" dimensionUniqueName="[Data]" displayFolder="" count="0" memberValueDatatype="5" unbalanced="0"/>
    <cacheHierarchy uniqueName="[Data].[Ent P]" caption="Ent P" attribute="1" defaultMemberUniqueName="[Data].[Ent P].[All]" allUniqueName="[Data].[Ent P].[All]" dimensionUniqueName="[Data]" displayFolder="" count="0" memberValueDatatype="5" unbalanced="0"/>
    <cacheHierarchy uniqueName="[Data].[Rob]" caption="Rob" attribute="1" defaultMemberUniqueName="[Data].[Rob].[All]" allUniqueName="[Data].[Rob].[All]" dimensionUniqueName="[Data]" displayFolder="" count="0" memberValueDatatype="20" unbalanced="0"/>
    <cacheHierarchy uniqueName="[Data].[Rob/90]" caption="Rob/90" attribute="1" defaultMemberUniqueName="[Data].[Rob/90].[All]" allUniqueName="[Data].[Rob/90].[All]" dimensionUniqueName="[Data]" displayFolder="" count="0" memberValueDatatype="5" unbalanced="0"/>
    <cacheHierarchy uniqueName="[Data].[Pres Int]" caption="Pres Int" attribute="1" defaultMemberUniqueName="[Data].[Pres Int].[All]" allUniqueName="[Data].[Pres Int].[All]" dimensionUniqueName="[Data]" displayFolder="" count="0" memberValueDatatype="20" unbalanced="0"/>
    <cacheHierarchy uniqueName="[Data].[Pres I/90]" caption="Pres I/90" attribute="1" defaultMemberUniqueName="[Data].[Pres I/90].[All]" allUniqueName="[Data].[Pres I/90].[All]" dimensionUniqueName="[Data]" displayFolder="" count="0" memberValueDatatype="5" unbalanced="0"/>
    <cacheHierarchy uniqueName="[Data].[Pres C]" caption="Pres C" attribute="1" defaultMemberUniqueName="[Data].[Pres C].[All]" allUniqueName="[Data].[Pres C].[All]" dimensionUniqueName="[Data]" displayFolder="" count="0" memberValueDatatype="20" unbalanced="0"/>
    <cacheHierarchy uniqueName="[Data].[Pres C/90]" caption="Pres C/90" attribute="1" defaultMemberUniqueName="[Data].[Pres C/90].[All]" allUniqueName="[Data].[Pres C/90].[All]" dimensionUniqueName="[Data]" displayFolder="" count="0" memberValueDatatype="5" unbalanced="0"/>
    <cacheHierarchy uniqueName="[Data].[Pos Perd/90]" caption="Pos Perd/90" attribute="1" defaultMemberUniqueName="[Data].[Pos Perd/90].[All]" allUniqueName="[Data].[Pos Perd/90].[All]" dimensionUniqueName="[Data]" displayFolder="" count="0" memberValueDatatype="5" unbalanced="0"/>
    <cacheHierarchy uniqueName="[Data].[Pos Gan/90]" caption="Pos Gan/90" attribute="1" defaultMemberUniqueName="[Data].[Pos Gan/90].[All]" allUniqueName="[Data].[Pos Gan/90].[All]" dimensionUniqueName="[Data]" displayFolder="" count="0" memberValueDatatype="5" unbalanced="0"/>
    <cacheHierarchy uniqueName="[Data].[Pos Gan/Per /90]" caption="Pos Gan/Per /90" attribute="1" defaultMemberUniqueName="[Data].[Pos Gan/Per /90].[All]" allUniqueName="[Data].[Pos Gan/Per /90].[All]" dimensionUniqueName="[Data]" displayFolder="" count="0" memberValueDatatype="5" unbalanced="0"/>
    <cacheHierarchy uniqueName="[Data].[Desp]" caption="Desp" attribute="1" defaultMemberUniqueName="[Data].[Desp].[All]" allUniqueName="[Data].[Desp].[All]" dimensionUniqueName="[Data]" displayFolder="" count="0" memberValueDatatype="20" unbalanced="0"/>
    <cacheHierarchy uniqueName="[Data].[Desp/90]" caption="Desp/90" attribute="1" defaultMemberUniqueName="[Data].[Desp/90].[All]" allUniqueName="[Data].[Desp/90].[All]" dimensionUniqueName="[Data]" displayFolder="" count="0" memberValueDatatype="5" unbalanced="0"/>
    <cacheHierarchy uniqueName="[Data].[FC]" caption="FC" attribute="1" defaultMemberUniqueName="[Data].[FC].[All]" allUniqueName="[Data].[FC].[All]" dimensionUniqueName="[Data]" displayFolder="" count="0" memberValueDatatype="20" unbalanced="0"/>
    <cacheHierarchy uniqueName="[Data].[Ama]" caption="Ama" attribute="1" defaultMemberUniqueName="[Data].[Ama].[All]" allUniqueName="[Data].[Ama].[All]" dimensionUniqueName="[Data]" displayFolder="" count="0" memberValueDatatype="20" unbalanced="0"/>
    <cacheHierarchy uniqueName="[Data].[Roj.]" caption="Roj." attribute="1" defaultMemberUniqueName="[Data].[Roj.].[All]" allUniqueName="[Data].[Roj.].[All]" dimensionUniqueName="[Data]" displayFolder="" count="0" memberValueDatatype="20" unbalanced="0"/>
    <cacheHierarchy uniqueName="[Data].[Gl Err]" caption="Gl Err" attribute="1" defaultMemberUniqueName="[Data].[Gl Err].[All]" allUniqueName="[Data].[Gl Err].[All]" dimensionUniqueName="[Data]" displayFolder="" count="0" memberValueDatatype="20" unbalanced="0"/>
    <cacheHierarchy uniqueName="[Data].[Rec]" caption="Rec" attribute="1" defaultMemberUniqueName="[Data].[Rec].[All]" allUniqueName="[Data].[Rec].[All]" dimensionUniqueName="[Data]" displayFolder="" count="0" memberValueDatatype="20" unbalanced="0"/>
    <cacheHierarchy uniqueName="[Data].[Rech/90]" caption="Rech/90" attribute="1" defaultMemberUniqueName="[Data].[Rech/90].[All]" allUniqueName="[Data].[Rech/90].[All]" dimensionUniqueName="[Data]" displayFolder="" count="0" memberValueDatatype="130" unbalanced="0"/>
    <cacheHierarchy uniqueName="[Data].[EnEq/90]" caption="EnEq/90" attribute="1" defaultMemberUniqueName="[Data].[EnEq/90].[All]" allUniqueName="[Data].[EnEq/90].[All]" dimensionUniqueName="[Data]" displayFolder="" count="0" memberValueDatatype="5" unbalanced="0"/>
    <cacheHierarchy uniqueName="[Measures].[__XL_Count Data]" caption="__XL_Count Data" measure="1" displayFolder="" measureGroup="Data" count="0" hidden="1"/>
    <cacheHierarchy uniqueName="[Measures].[__No measures defined]" caption="__No measures defined" measure="1" displayFolder="" count="0" hidden="1"/>
    <cacheHierarchy uniqueName="[Measures].[Recuento de Altura]" caption="Recuento de Altura" measure="1" displayFolder="" measureGroup="Data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e Nombre]" caption="Recuento de Nombre" measure="1" displayFolder="" measureGroup="Data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Recuento de Sueldo]" caption="Recuento de Sueldo" measure="1" displayFolder="" measureGroup="Dat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Sueldo]" caption="Recuento distinto de Sueldo" measure="1" displayFolder="" measureGroup="Dat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a de Ent Clv/90]" caption="Suma de Ent Clv/90" measure="1" displayFolder="" measureGroup="Data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Entr/90]" caption="Suma de Entr/90" measure="1" displayFolder="" measureGroup="Data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a de Ps C/90]" caption="Suma de Ps C/90" measure="1" displayFolder="" measureGroup="Data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a de % Pase]" caption="Suma de % Pase" measure="1" displayFolder="" measureGroup="Data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a de Min]" caption="Suma de Min" measure="1" displayFolder="" measureGroup="Data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a de Media]" caption="Suma de Media" measure="1" displayFolder="" measureGroup="Data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Bal aér/90]" caption="Suma de Bal aér/90" measure="1" displayFolder="" measureGroup="Data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a de Cab G/90]" caption="Suma de Cab G/90" measure="1" displayFolder="" measureGroup="Data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Cab Clv/90]" caption="Suma de Cab Clv/90" measure="1" displayFolder="" measureGroup="Data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a de Cab Int]" caption="Suma de Cab Int" measure="1" displayFolder="" measureGroup="Data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a de Cab]" caption="Suma de Cab" measure="1" displayFolder="" measureGroup="Data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Rcg %]" caption="Suma de Rcg %" measure="1" displayFolder="" measureGroup="Data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Ent P]" caption="Suma de Ent P" measure="1" displayFolder="" measureGroup="Data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EnEq/90]" caption="Suma de EnEq/90" measure="1" displayFolder="" measureGroup="Data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a de Ent G]" caption="Suma de Ent G" measure="1" displayFolder="" measureGroup="Data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a de Rob/90]" caption="Suma de Rob/90" measure="1" displayFolder="" measureGroup="Data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a de Pres C/90]" caption="Suma de Pres C/90" measure="1" displayFolder="" measureGroup="Data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Desp/90]" caption="Suma de Desp/90" measure="1" displayFolder="" measureGroup="Data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Recuento de Rech/90]" caption="Recuento de Rech/90" measure="1" displayFolder="" measureGroup="Data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a de Ama]" caption="Suma de Ama" measure="1" displayFolder="" measureGroup="Data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a de Pos Gan/90]" caption="Suma de Pos Gan/90" measure="1" displayFolder="" measureGroup="Data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Pos Perd/90]" caption="Suma de Pos Perd/90" measure="1" displayFolder="" measureGroup="Data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a de Pos Gan/Per /90]" caption="Suma de Pos Gan/Per /90" measure="1" displayFolder="" measureGroup="Da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</cacheHierarchies>
  <kpis count="0"/>
  <dimensions count="2">
    <dimension name="Data" uniqueName="[Data]" caption="Data"/>
    <dimension measure="1" name="Measures" uniqueName="[Measures]" caption="Measures"/>
  </dimensions>
  <measureGroups count="1">
    <measureGroup name="Data" caption="Data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" refreshedDate="45116.75024814815" backgroundQuery="1" createdVersion="8" refreshedVersion="8" minRefreshableVersion="3" recordCount="0" supportSubquery="1" supportAdvancedDrill="1" xr:uid="{6373BA29-F6F8-4989-A779-B9CEF0D2F37C}">
  <cacheSource type="external" connectionId="1"/>
  <cacheFields count="3">
    <cacheField name="[Data].[Nombre].[Nombre]" caption="Nombre" numFmtId="0" level="1">
      <sharedItems count="26">
        <s v="Álex Pérez"/>
        <s v="Attila Szalai"/>
        <s v="Damián Canedo"/>
        <s v="Dan Happe"/>
        <s v="David Carmo"/>
        <s v="David Domgjoni"/>
        <s v="Dimitrie Deumi Nappi"/>
        <s v="Dominic Revan"/>
        <s v="Ertuğrul Kurtuluş"/>
        <s v="Jorge Herrando"/>
        <s v="José Manuel Copete"/>
        <s v="Luis Binks"/>
        <s v="Luka Lochoshvili"/>
        <s v="Mariano Fazio"/>
        <s v="Marin Pongračić"/>
        <s v="Matthias Ginter"/>
        <s v="Maxime Estève"/>
        <s v="Nicolás Meriano"/>
        <s v="Nicolas Taravel"/>
        <s v="Nikos Michelis"/>
        <s v="Ousmane Diomandé"/>
        <s v="Patric Pfeiffer"/>
        <s v="Samuel Biek"/>
        <s v="Samuel Gómez"/>
        <s v="Strahinja Pavlović"/>
        <s v="Stuart Findlay"/>
      </sharedItems>
    </cacheField>
    <cacheField name="[Measures].[Suma de Ps C/90]" caption="Suma de Ps C/90" numFmtId="0" hierarchy="59" level="32767"/>
    <cacheField name="[Measures].[Suma de % Pase]" caption="Suma de % Pase" numFmtId="0" hierarchy="60" level="32767"/>
  </cacheFields>
  <cacheHierarchies count="80">
    <cacheHierarchy uniqueName="[Data].[Nombre]" caption="Nombre" attribute="1" defaultMemberUniqueName="[Data].[Nombre].[All]" allUniqueName="[Data].[Nombre].[All]" dimensionUniqueName="[Data]" displayFolder="" count="2" memberValueDatatype="130" unbalanced="0">
      <fieldsUsage count="2">
        <fieldUsage x="-1"/>
        <fieldUsage x="0"/>
      </fieldsUsage>
    </cacheHierarchy>
    <cacheHierarchy uniqueName="[Data].[Altura]" caption="Altura" attribute="1" defaultMemberUniqueName="[Data].[Altura].[All]" allUniqueName="[Data].[Altura].[All]" dimensionUniqueName="[Data]" displayFolder="" count="2" memberValueDatatype="20" unbalanced="0"/>
    <cacheHierarchy uniqueName="[Data].[Peso]" caption="Peso" attribute="1" defaultMemberUniqueName="[Data].[Peso].[All]" allUniqueName="[Data].[Peso].[All]" dimensionUniqueName="[Data]" displayFolder="" count="0" memberValueDatatype="130" unbalanced="0"/>
    <cacheHierarchy uniqueName="[Data].[Final]" caption="Final" attribute="1" time="1" defaultMemberUniqueName="[Data].[Final].[All]" allUniqueName="[Data].[Final].[All]" dimensionUniqueName="[Data]" displayFolder="" count="0" memberValueDatatype="7" unbalanced="0"/>
    <cacheHierarchy uniqueName="[Data].[Sueldo]" caption="Sueldo" attribute="1" defaultMemberUniqueName="[Data].[Sueldo].[All]" allUniqueName="[Data].[Sueldo].[All]" dimensionUniqueName="[Data]" displayFolder="" count="2" memberValueDatatype="130" unbalanced="0"/>
    <cacheHierarchy uniqueName="[Data].[Min]" caption="Min" attribute="1" defaultMemberUniqueName="[Data].[Min].[All]" allUniqueName="[Data].[Min].[All]" dimensionUniqueName="[Data]" displayFolder="" count="2" memberValueDatatype="20" unbalanced="0"/>
    <cacheHierarchy uniqueName="[Data].[Part]" caption="Part" attribute="1" defaultMemberUniqueName="[Data].[Part].[All]" allUniqueName="[Data].[Part].[All]" dimensionUniqueName="[Data]" displayFolder="" count="0" memberValueDatatype="130" unbalanced="0"/>
    <cacheHierarchy uniqueName="[Data].[Dist/90]" caption="Dist/90" attribute="1" defaultMemberUniqueName="[Data].[Dist/90].[All]" allUniqueName="[Data].[Dist/90].[All]" dimensionUniqueName="[Data]" displayFolder="" count="0" memberValueDatatype="130" unbalanced="0"/>
    <cacheHierarchy uniqueName="[Data].[Media]" caption="Media" attribute="1" defaultMemberUniqueName="[Data].[Media].[All]" allUniqueName="[Data].[Media].[All]" dimensionUniqueName="[Data]" displayFolder="" count="2" memberValueDatatype="5" unbalanced="0"/>
    <cacheHierarchy uniqueName="[Data].[Ps I/90]" caption="Ps I/90" attribute="1" defaultMemberUniqueName="[Data].[Ps I/90].[All]" allUniqueName="[Data].[Ps I/90].[All]" dimensionUniqueName="[Data]" displayFolder="" count="0" memberValueDatatype="5" unbalanced="0"/>
    <cacheHierarchy uniqueName="[Data].[Ps C/90]" caption="Ps C/90" attribute="1" defaultMemberUniqueName="[Data].[Ps C/90].[All]" allUniqueName="[Data].[Ps C/90].[All]" dimensionUniqueName="[Data]" displayFolder="" count="0" memberValueDatatype="5" unbalanced="0"/>
    <cacheHierarchy uniqueName="[Data].[Pases prog/90]" caption="Pases prog/90" attribute="1" defaultMemberUniqueName="[Data].[Pases prog/90].[All]" allUniqueName="[Data].[Pases prog/90].[All]" dimensionUniqueName="[Data]" displayFolder="" count="0" memberValueDatatype="5" unbalanced="0"/>
    <cacheHierarchy uniqueName="[Data].[Pas Clv/90]" caption="Pas Clv/90" attribute="1" defaultMemberUniqueName="[Data].[Pas Clv/90].[All]" allUniqueName="[Data].[Pas Clv/90].[All]" dimensionUniqueName="[Data]" displayFolder="" count="0" memberValueDatatype="130" unbalanced="0"/>
    <cacheHierarchy uniqueName="[Data].[P Clv- J Ab]" caption="P Clv- J Ab" attribute="1" defaultMemberUniqueName="[Data].[P Clv- J Ab].[All]" allUniqueName="[Data].[P Clv- J Ab].[All]" dimensionUniqueName="[Data]" displayFolder="" count="0" memberValueDatatype="20" unbalanced="0"/>
    <cacheHierarchy uniqueName="[Data].[P Clv-J Ab/90]" caption="P Clv-J Ab/90" attribute="1" defaultMemberUniqueName="[Data].[P Clv-J Ab/90].[All]" allUniqueName="[Data].[P Clv-J Ab/90].[All]" dimensionUniqueName="[Data]" displayFolder="" count="0" memberValueDatatype="5" unbalanced="0"/>
    <cacheHierarchy uniqueName="[Data].[% Pase]" caption="% Pase" attribute="1" defaultMemberUniqueName="[Data].[% Pase].[All]" allUniqueName="[Data].[% Pase].[All]" dimensionUniqueName="[Data]" displayFolder="" count="0" memberValueDatatype="5" unbalanced="0"/>
    <cacheHierarchy uniqueName="[Data].[TirP/90]" caption="TirP/90" attribute="1" defaultMemberUniqueName="[Data].[TirP/90].[All]" allUniqueName="[Data].[TirP/90].[All]" dimensionUniqueName="[Data]" displayFolder="" count="0" memberValueDatatype="130" unbalanced="0"/>
    <cacheHierarchy uniqueName="[Data].[Gol]" caption="Gol" attribute="1" defaultMemberUniqueName="[Data].[Gol].[All]" allUniqueName="[Data].[Gol].[All]" dimensionUniqueName="[Data]" displayFolder="" count="0" memberValueDatatype="20" unbalanced="0"/>
    <cacheHierarchy uniqueName="[Data].[Reg]" caption="Reg" attribute="1" defaultMemberUniqueName="[Data].[Reg].[All]" allUniqueName="[Data].[Reg].[All]" dimensionUniqueName="[Data]" displayFolder="" count="0" memberValueDatatype="20" unbalanced="0"/>
    <cacheHierarchy uniqueName="[Data].[Reg/90]" caption="Reg/90" attribute="1" defaultMemberUniqueName="[Data].[Reg/90].[All]" allUniqueName="[Data].[Reg/90].[All]" dimensionUniqueName="[Data]" displayFolder="" count="0" memberValueDatatype="130" unbalanced="0"/>
    <cacheHierarchy uniqueName="[Data].[FR]" caption="FR" attribute="1" defaultMemberUniqueName="[Data].[FR].[All]" allUniqueName="[Data].[FR].[All]" dimensionUniqueName="[Data]" displayFolder="" count="0" memberValueDatatype="20" unbalanced="0"/>
    <cacheHierarchy uniqueName="[Data].[Cab Int]" caption="Cab Int" attribute="1" defaultMemberUniqueName="[Data].[Cab Int].[All]" allUniqueName="[Data].[Cab Int].[All]" dimensionUniqueName="[Data]" displayFolder="" count="0" memberValueDatatype="20" unbalanced="0"/>
    <cacheHierarchy uniqueName="[Data].[Bal aér/90]" caption="Bal aér/90" attribute="1" defaultMemberUniqueName="[Data].[Bal aér/90].[All]" allUniqueName="[Data].[Bal aér/90].[All]" dimensionUniqueName="[Data]" displayFolder="" count="0" memberValueDatatype="5" unbalanced="0"/>
    <cacheHierarchy uniqueName="[Data].[Cab]" caption="Cab" attribute="1" defaultMemberUniqueName="[Data].[Cab].[All]" allUniqueName="[Data].[Cab].[All]" dimensionUniqueName="[Data]" displayFolder="" count="0" memberValueDatatype="20" unbalanced="0"/>
    <cacheHierarchy uniqueName="[Data].[Cab G/90]" caption="Cab G/90" attribute="1" defaultMemberUniqueName="[Data].[Cab G/90].[All]" allUniqueName="[Data].[Cab G/90].[All]" dimensionUniqueName="[Data]" displayFolder="" count="0" memberValueDatatype="5" unbalanced="0"/>
    <cacheHierarchy uniqueName="[Data].[Cab Clv/90]" caption="Cab Clv/90" attribute="1" defaultMemberUniqueName="[Data].[Cab Clv/90].[All]" allUniqueName="[Data].[Cab Clv/90].[All]" dimensionUniqueName="[Data]" displayFolder="" count="0" memberValueDatatype="5" unbalanced="0"/>
    <cacheHierarchy uniqueName="[Data].[Rcg %]" caption="Rcg %" attribute="1" defaultMemberUniqueName="[Data].[Rcg %].[All]" allUniqueName="[Data].[Rcg %].[All]" dimensionUniqueName="[Data]" displayFolder="" count="0" memberValueDatatype="5" unbalanced="0"/>
    <cacheHierarchy uniqueName="[Data].[Ent I]" caption="Ent I" attribute="1" defaultMemberUniqueName="[Data].[Ent I].[All]" allUniqueName="[Data].[Ent I].[All]" dimensionUniqueName="[Data]" displayFolder="" count="0" memberValueDatatype="20" unbalanced="0"/>
    <cacheHierarchy uniqueName="[Data].[Entr/90]" caption="Entr/90" attribute="1" defaultMemberUniqueName="[Data].[Entr/90].[All]" allUniqueName="[Data].[Entr/90].[All]" dimensionUniqueName="[Data]" displayFolder="" count="0" memberValueDatatype="5" unbalanced="0"/>
    <cacheHierarchy uniqueName="[Data].[Ent G]" caption="Ent G" attribute="1" defaultMemberUniqueName="[Data].[Ent G].[All]" allUniqueName="[Data].[Ent G].[All]" dimensionUniqueName="[Data]" displayFolder="" count="0" memberValueDatatype="20" unbalanced="0"/>
    <cacheHierarchy uniqueName="[Data].[Ent Cl]" caption="Ent Cl" attribute="1" defaultMemberUniqueName="[Data].[Ent Cl].[All]" allUniqueName="[Data].[Ent Cl].[All]" dimensionUniqueName="[Data]" displayFolder="" count="0" memberValueDatatype="20" unbalanced="0"/>
    <cacheHierarchy uniqueName="[Data].[Ent Clv/90]" caption="Ent Clv/90" attribute="1" defaultMemberUniqueName="[Data].[Ent Clv/90].[All]" allUniqueName="[Data].[Ent Clv/90].[All]" dimensionUniqueName="[Data]" displayFolder="" count="0" memberValueDatatype="5" unbalanced="0"/>
    <cacheHierarchy uniqueName="[Data].[Ent P]" caption="Ent P" attribute="1" defaultMemberUniqueName="[Data].[Ent P].[All]" allUniqueName="[Data].[Ent P].[All]" dimensionUniqueName="[Data]" displayFolder="" count="0" memberValueDatatype="5" unbalanced="0"/>
    <cacheHierarchy uniqueName="[Data].[Rob]" caption="Rob" attribute="1" defaultMemberUniqueName="[Data].[Rob].[All]" allUniqueName="[Data].[Rob].[All]" dimensionUniqueName="[Data]" displayFolder="" count="0" memberValueDatatype="20" unbalanced="0"/>
    <cacheHierarchy uniqueName="[Data].[Rob/90]" caption="Rob/90" attribute="1" defaultMemberUniqueName="[Data].[Rob/90].[All]" allUniqueName="[Data].[Rob/90].[All]" dimensionUniqueName="[Data]" displayFolder="" count="0" memberValueDatatype="5" unbalanced="0"/>
    <cacheHierarchy uniqueName="[Data].[Pres Int]" caption="Pres Int" attribute="1" defaultMemberUniqueName="[Data].[Pres Int].[All]" allUniqueName="[Data].[Pres Int].[All]" dimensionUniqueName="[Data]" displayFolder="" count="0" memberValueDatatype="20" unbalanced="0"/>
    <cacheHierarchy uniqueName="[Data].[Pres I/90]" caption="Pres I/90" attribute="1" defaultMemberUniqueName="[Data].[Pres I/90].[All]" allUniqueName="[Data].[Pres I/90].[All]" dimensionUniqueName="[Data]" displayFolder="" count="0" memberValueDatatype="5" unbalanced="0"/>
    <cacheHierarchy uniqueName="[Data].[Pres C]" caption="Pres C" attribute="1" defaultMemberUniqueName="[Data].[Pres C].[All]" allUniqueName="[Data].[Pres C].[All]" dimensionUniqueName="[Data]" displayFolder="" count="0" memberValueDatatype="20" unbalanced="0"/>
    <cacheHierarchy uniqueName="[Data].[Pres C/90]" caption="Pres C/90" attribute="1" defaultMemberUniqueName="[Data].[Pres C/90].[All]" allUniqueName="[Data].[Pres C/90].[All]" dimensionUniqueName="[Data]" displayFolder="" count="0" memberValueDatatype="5" unbalanced="0"/>
    <cacheHierarchy uniqueName="[Data].[Pos Perd/90]" caption="Pos Perd/90" attribute="1" defaultMemberUniqueName="[Data].[Pos Perd/90].[All]" allUniqueName="[Data].[Pos Perd/90].[All]" dimensionUniqueName="[Data]" displayFolder="" count="0" memberValueDatatype="5" unbalanced="0"/>
    <cacheHierarchy uniqueName="[Data].[Pos Gan/90]" caption="Pos Gan/90" attribute="1" defaultMemberUniqueName="[Data].[Pos Gan/90].[All]" allUniqueName="[Data].[Pos Gan/90].[All]" dimensionUniqueName="[Data]" displayFolder="" count="0" memberValueDatatype="5" unbalanced="0"/>
    <cacheHierarchy uniqueName="[Data].[Pos Gan/Per /90]" caption="Pos Gan/Per /90" attribute="1" defaultMemberUniqueName="[Data].[Pos Gan/Per /90].[All]" allUniqueName="[Data].[Pos Gan/Per /90].[All]" dimensionUniqueName="[Data]" displayFolder="" count="0" memberValueDatatype="5" unbalanced="0"/>
    <cacheHierarchy uniqueName="[Data].[Desp]" caption="Desp" attribute="1" defaultMemberUniqueName="[Data].[Desp].[All]" allUniqueName="[Data].[Desp].[All]" dimensionUniqueName="[Data]" displayFolder="" count="0" memberValueDatatype="20" unbalanced="0"/>
    <cacheHierarchy uniqueName="[Data].[Desp/90]" caption="Desp/90" attribute="1" defaultMemberUniqueName="[Data].[Desp/90].[All]" allUniqueName="[Data].[Desp/90].[All]" dimensionUniqueName="[Data]" displayFolder="" count="0" memberValueDatatype="5" unbalanced="0"/>
    <cacheHierarchy uniqueName="[Data].[FC]" caption="FC" attribute="1" defaultMemberUniqueName="[Data].[FC].[All]" allUniqueName="[Data].[FC].[All]" dimensionUniqueName="[Data]" displayFolder="" count="0" memberValueDatatype="20" unbalanced="0"/>
    <cacheHierarchy uniqueName="[Data].[Ama]" caption="Ama" attribute="1" defaultMemberUniqueName="[Data].[Ama].[All]" allUniqueName="[Data].[Ama].[All]" dimensionUniqueName="[Data]" displayFolder="" count="0" memberValueDatatype="20" unbalanced="0"/>
    <cacheHierarchy uniqueName="[Data].[Roj.]" caption="Roj." attribute="1" defaultMemberUniqueName="[Data].[Roj.].[All]" allUniqueName="[Data].[Roj.].[All]" dimensionUniqueName="[Data]" displayFolder="" count="0" memberValueDatatype="20" unbalanced="0"/>
    <cacheHierarchy uniqueName="[Data].[Gl Err]" caption="Gl Err" attribute="1" defaultMemberUniqueName="[Data].[Gl Err].[All]" allUniqueName="[Data].[Gl Err].[All]" dimensionUniqueName="[Data]" displayFolder="" count="0" memberValueDatatype="20" unbalanced="0"/>
    <cacheHierarchy uniqueName="[Data].[Rec]" caption="Rec" attribute="1" defaultMemberUniqueName="[Data].[Rec].[All]" allUniqueName="[Data].[Rec].[All]" dimensionUniqueName="[Data]" displayFolder="" count="0" memberValueDatatype="20" unbalanced="0"/>
    <cacheHierarchy uniqueName="[Data].[Rech/90]" caption="Rech/90" attribute="1" defaultMemberUniqueName="[Data].[Rech/90].[All]" allUniqueName="[Data].[Rech/90].[All]" dimensionUniqueName="[Data]" displayFolder="" count="0" memberValueDatatype="130" unbalanced="0"/>
    <cacheHierarchy uniqueName="[Data].[EnEq/90]" caption="EnEq/90" attribute="1" defaultMemberUniqueName="[Data].[EnEq/90].[All]" allUniqueName="[Data].[EnEq/90].[All]" dimensionUniqueName="[Data]" displayFolder="" count="0" memberValueDatatype="5" unbalanced="0"/>
    <cacheHierarchy uniqueName="[Measures].[__XL_Count Data]" caption="__XL_Count Data" measure="1" displayFolder="" measureGroup="Data" count="0" hidden="1"/>
    <cacheHierarchy uniqueName="[Measures].[__No measures defined]" caption="__No measures defined" measure="1" displayFolder="" count="0" hidden="1"/>
    <cacheHierarchy uniqueName="[Measures].[Recuento de Altura]" caption="Recuento de Altura" measure="1" displayFolder="" measureGroup="Data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e Nombre]" caption="Recuento de Nombre" measure="1" displayFolder="" measureGroup="Data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Recuento de Sueldo]" caption="Recuento de Sueldo" measure="1" displayFolder="" measureGroup="Dat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Sueldo]" caption="Recuento distinto de Sueldo" measure="1" displayFolder="" measureGroup="Dat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a de Ent Clv/90]" caption="Suma de Ent Clv/90" measure="1" displayFolder="" measureGroup="Data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Entr/90]" caption="Suma de Entr/90" measure="1" displayFolder="" measureGroup="Data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a de Ps C/90]" caption="Suma de Ps C/90" measure="1" displayFolder="" measureGroup="Da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a de % Pase]" caption="Suma de % Pase" measure="1" displayFolder="" measureGroup="Data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a de Min]" caption="Suma de Min" measure="1" displayFolder="" measureGroup="Data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a de Media]" caption="Suma de Media" measure="1" displayFolder="" measureGroup="Data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Bal aér/90]" caption="Suma de Bal aér/90" measure="1" displayFolder="" measureGroup="Data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a de Cab G/90]" caption="Suma de Cab G/90" measure="1" displayFolder="" measureGroup="Data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Cab Clv/90]" caption="Suma de Cab Clv/90" measure="1" displayFolder="" measureGroup="Data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a de Cab Int]" caption="Suma de Cab Int" measure="1" displayFolder="" measureGroup="Data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a de Cab]" caption="Suma de Cab" measure="1" displayFolder="" measureGroup="Data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Rcg %]" caption="Suma de Rcg %" measure="1" displayFolder="" measureGroup="Data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Ent P]" caption="Suma de Ent P" measure="1" displayFolder="" measureGroup="Data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EnEq/90]" caption="Suma de EnEq/90" measure="1" displayFolder="" measureGroup="Data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a de Ent G]" caption="Suma de Ent G" measure="1" displayFolder="" measureGroup="Data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a de Rob/90]" caption="Suma de Rob/90" measure="1" displayFolder="" measureGroup="Data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a de Pres C/90]" caption="Suma de Pres C/90" measure="1" displayFolder="" measureGroup="Data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Desp/90]" caption="Suma de Desp/90" measure="1" displayFolder="" measureGroup="Data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Recuento de Rech/90]" caption="Recuento de Rech/90" measure="1" displayFolder="" measureGroup="Data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a de Ama]" caption="Suma de Ama" measure="1" displayFolder="" measureGroup="Data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a de Pos Gan/90]" caption="Suma de Pos Gan/90" measure="1" displayFolder="" measureGroup="Data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Pos Perd/90]" caption="Suma de Pos Perd/90" measure="1" displayFolder="" measureGroup="Data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a de Pos Gan/Per /90]" caption="Suma de Pos Gan/Per /90" measure="1" displayFolder="" measureGroup="Data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</cacheHierarchies>
  <kpis count="0"/>
  <dimensions count="2">
    <dimension name="Data" uniqueName="[Data]" caption="Data"/>
    <dimension measure="1" name="Measures" uniqueName="[Measures]" caption="Measures"/>
  </dimensions>
  <measureGroups count="1">
    <measureGroup name="Data" caption="Data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" refreshedDate="45116.75024872685" backgroundQuery="1" createdVersion="8" refreshedVersion="8" minRefreshableVersion="3" recordCount="0" supportSubquery="1" supportAdvancedDrill="1" xr:uid="{ED55F4AD-EE5D-494F-83DA-DE4B44E5386D}">
  <cacheSource type="external" connectionId="1"/>
  <cacheFields count="5">
    <cacheField name="[Data].[Nombre].[Nombre]" caption="Nombre" numFmtId="0" level="1">
      <sharedItems count="26">
        <s v="Álex Pérez"/>
        <s v="Attila Szalai"/>
        <s v="Damián Canedo"/>
        <s v="Dan Happe"/>
        <s v="David Carmo"/>
        <s v="David Domgjoni"/>
        <s v="Dimitrie Deumi Nappi"/>
        <s v="Dominic Revan"/>
        <s v="Ertuğrul Kurtuluş"/>
        <s v="Jorge Herrando"/>
        <s v="José Manuel Copete"/>
        <s v="Luis Binks"/>
        <s v="Luka Lochoshvili"/>
        <s v="Mariano Fazio"/>
        <s v="Marin Pongračić"/>
        <s v="Matthias Ginter"/>
        <s v="Maxime Estève"/>
        <s v="Nicolás Meriano"/>
        <s v="Nicolas Taravel"/>
        <s v="Nikos Michelis"/>
        <s v="Ousmane Diomandé"/>
        <s v="Patric Pfeiffer"/>
        <s v="Samuel Biek"/>
        <s v="Samuel Gómez"/>
        <s v="Strahinja Pavlović"/>
        <s v="Stuart Findlay"/>
      </sharedItems>
    </cacheField>
    <cacheField name="[Measures].[Suma de Bal aér/90]" caption="Suma de Bal aér/90" numFmtId="0" hierarchy="63" level="32767"/>
    <cacheField name="[Measures].[Suma de Cab G/90]" caption="Suma de Cab G/90" numFmtId="0" hierarchy="64" level="32767"/>
    <cacheField name="[Measures].[Suma de Cab Clv/90]" caption="Suma de Cab Clv/90" numFmtId="0" hierarchy="65" level="32767"/>
    <cacheField name="[Measures].[Suma de Rcg %]" caption="Suma de Rcg %" numFmtId="0" hierarchy="68" level="32767"/>
  </cacheFields>
  <cacheHierarchies count="80">
    <cacheHierarchy uniqueName="[Data].[Nombre]" caption="Nombre" attribute="1" defaultMemberUniqueName="[Data].[Nombre].[All]" allUniqueName="[Data].[Nombre].[All]" dimensionUniqueName="[Data]" displayFolder="" count="2" memberValueDatatype="130" unbalanced="0">
      <fieldsUsage count="2">
        <fieldUsage x="-1"/>
        <fieldUsage x="0"/>
      </fieldsUsage>
    </cacheHierarchy>
    <cacheHierarchy uniqueName="[Data].[Altura]" caption="Altura" attribute="1" defaultMemberUniqueName="[Data].[Altura].[All]" allUniqueName="[Data].[Altura].[All]" dimensionUniqueName="[Data]" displayFolder="" count="2" memberValueDatatype="20" unbalanced="0"/>
    <cacheHierarchy uniqueName="[Data].[Peso]" caption="Peso" attribute="1" defaultMemberUniqueName="[Data].[Peso].[All]" allUniqueName="[Data].[Peso].[All]" dimensionUniqueName="[Data]" displayFolder="" count="0" memberValueDatatype="130" unbalanced="0"/>
    <cacheHierarchy uniqueName="[Data].[Final]" caption="Final" attribute="1" time="1" defaultMemberUniqueName="[Data].[Final].[All]" allUniqueName="[Data].[Final].[All]" dimensionUniqueName="[Data]" displayFolder="" count="0" memberValueDatatype="7" unbalanced="0"/>
    <cacheHierarchy uniqueName="[Data].[Sueldo]" caption="Sueldo" attribute="1" defaultMemberUniqueName="[Data].[Sueldo].[All]" allUniqueName="[Data].[Sueldo].[All]" dimensionUniqueName="[Data]" displayFolder="" count="2" memberValueDatatype="130" unbalanced="0"/>
    <cacheHierarchy uniqueName="[Data].[Min]" caption="Min" attribute="1" defaultMemberUniqueName="[Data].[Min].[All]" allUniqueName="[Data].[Min].[All]" dimensionUniqueName="[Data]" displayFolder="" count="2" memberValueDatatype="20" unbalanced="0"/>
    <cacheHierarchy uniqueName="[Data].[Part]" caption="Part" attribute="1" defaultMemberUniqueName="[Data].[Part].[All]" allUniqueName="[Data].[Part].[All]" dimensionUniqueName="[Data]" displayFolder="" count="0" memberValueDatatype="130" unbalanced="0"/>
    <cacheHierarchy uniqueName="[Data].[Dist/90]" caption="Dist/90" attribute="1" defaultMemberUniqueName="[Data].[Dist/90].[All]" allUniqueName="[Data].[Dist/90].[All]" dimensionUniqueName="[Data]" displayFolder="" count="0" memberValueDatatype="130" unbalanced="0"/>
    <cacheHierarchy uniqueName="[Data].[Media]" caption="Media" attribute="1" defaultMemberUniqueName="[Data].[Media].[All]" allUniqueName="[Data].[Media].[All]" dimensionUniqueName="[Data]" displayFolder="" count="2" memberValueDatatype="5" unbalanced="0"/>
    <cacheHierarchy uniqueName="[Data].[Ps I/90]" caption="Ps I/90" attribute="1" defaultMemberUniqueName="[Data].[Ps I/90].[All]" allUniqueName="[Data].[Ps I/90].[All]" dimensionUniqueName="[Data]" displayFolder="" count="0" memberValueDatatype="5" unbalanced="0"/>
    <cacheHierarchy uniqueName="[Data].[Ps C/90]" caption="Ps C/90" attribute="1" defaultMemberUniqueName="[Data].[Ps C/90].[All]" allUniqueName="[Data].[Ps C/90].[All]" dimensionUniqueName="[Data]" displayFolder="" count="0" memberValueDatatype="5" unbalanced="0"/>
    <cacheHierarchy uniqueName="[Data].[Pases prog/90]" caption="Pases prog/90" attribute="1" defaultMemberUniqueName="[Data].[Pases prog/90].[All]" allUniqueName="[Data].[Pases prog/90].[All]" dimensionUniqueName="[Data]" displayFolder="" count="0" memberValueDatatype="5" unbalanced="0"/>
    <cacheHierarchy uniqueName="[Data].[Pas Clv/90]" caption="Pas Clv/90" attribute="1" defaultMemberUniqueName="[Data].[Pas Clv/90].[All]" allUniqueName="[Data].[Pas Clv/90].[All]" dimensionUniqueName="[Data]" displayFolder="" count="0" memberValueDatatype="130" unbalanced="0"/>
    <cacheHierarchy uniqueName="[Data].[P Clv- J Ab]" caption="P Clv- J Ab" attribute="1" defaultMemberUniqueName="[Data].[P Clv- J Ab].[All]" allUniqueName="[Data].[P Clv- J Ab].[All]" dimensionUniqueName="[Data]" displayFolder="" count="0" memberValueDatatype="20" unbalanced="0"/>
    <cacheHierarchy uniqueName="[Data].[P Clv-J Ab/90]" caption="P Clv-J Ab/90" attribute="1" defaultMemberUniqueName="[Data].[P Clv-J Ab/90].[All]" allUniqueName="[Data].[P Clv-J Ab/90].[All]" dimensionUniqueName="[Data]" displayFolder="" count="0" memberValueDatatype="5" unbalanced="0"/>
    <cacheHierarchy uniqueName="[Data].[% Pase]" caption="% Pase" attribute="1" defaultMemberUniqueName="[Data].[% Pase].[All]" allUniqueName="[Data].[% Pase].[All]" dimensionUniqueName="[Data]" displayFolder="" count="0" memberValueDatatype="5" unbalanced="0"/>
    <cacheHierarchy uniqueName="[Data].[TirP/90]" caption="TirP/90" attribute="1" defaultMemberUniqueName="[Data].[TirP/90].[All]" allUniqueName="[Data].[TirP/90].[All]" dimensionUniqueName="[Data]" displayFolder="" count="0" memberValueDatatype="130" unbalanced="0"/>
    <cacheHierarchy uniqueName="[Data].[Gol]" caption="Gol" attribute="1" defaultMemberUniqueName="[Data].[Gol].[All]" allUniqueName="[Data].[Gol].[All]" dimensionUniqueName="[Data]" displayFolder="" count="0" memberValueDatatype="20" unbalanced="0"/>
    <cacheHierarchy uniqueName="[Data].[Reg]" caption="Reg" attribute="1" defaultMemberUniqueName="[Data].[Reg].[All]" allUniqueName="[Data].[Reg].[All]" dimensionUniqueName="[Data]" displayFolder="" count="0" memberValueDatatype="20" unbalanced="0"/>
    <cacheHierarchy uniqueName="[Data].[Reg/90]" caption="Reg/90" attribute="1" defaultMemberUniqueName="[Data].[Reg/90].[All]" allUniqueName="[Data].[Reg/90].[All]" dimensionUniqueName="[Data]" displayFolder="" count="0" memberValueDatatype="130" unbalanced="0"/>
    <cacheHierarchy uniqueName="[Data].[FR]" caption="FR" attribute="1" defaultMemberUniqueName="[Data].[FR].[All]" allUniqueName="[Data].[FR].[All]" dimensionUniqueName="[Data]" displayFolder="" count="0" memberValueDatatype="20" unbalanced="0"/>
    <cacheHierarchy uniqueName="[Data].[Cab Int]" caption="Cab Int" attribute="1" defaultMemberUniqueName="[Data].[Cab Int].[All]" allUniqueName="[Data].[Cab Int].[All]" dimensionUniqueName="[Data]" displayFolder="" count="0" memberValueDatatype="20" unbalanced="0"/>
    <cacheHierarchy uniqueName="[Data].[Bal aér/90]" caption="Bal aér/90" attribute="1" defaultMemberUniqueName="[Data].[Bal aér/90].[All]" allUniqueName="[Data].[Bal aér/90].[All]" dimensionUniqueName="[Data]" displayFolder="" count="0" memberValueDatatype="5" unbalanced="0"/>
    <cacheHierarchy uniqueName="[Data].[Cab]" caption="Cab" attribute="1" defaultMemberUniqueName="[Data].[Cab].[All]" allUniqueName="[Data].[Cab].[All]" dimensionUniqueName="[Data]" displayFolder="" count="0" memberValueDatatype="20" unbalanced="0"/>
    <cacheHierarchy uniqueName="[Data].[Cab G/90]" caption="Cab G/90" attribute="1" defaultMemberUniqueName="[Data].[Cab G/90].[All]" allUniqueName="[Data].[Cab G/90].[All]" dimensionUniqueName="[Data]" displayFolder="" count="0" memberValueDatatype="5" unbalanced="0"/>
    <cacheHierarchy uniqueName="[Data].[Cab Clv/90]" caption="Cab Clv/90" attribute="1" defaultMemberUniqueName="[Data].[Cab Clv/90].[All]" allUniqueName="[Data].[Cab Clv/90].[All]" dimensionUniqueName="[Data]" displayFolder="" count="0" memberValueDatatype="5" unbalanced="0"/>
    <cacheHierarchy uniqueName="[Data].[Rcg %]" caption="Rcg %" attribute="1" defaultMemberUniqueName="[Data].[Rcg %].[All]" allUniqueName="[Data].[Rcg %].[All]" dimensionUniqueName="[Data]" displayFolder="" count="0" memberValueDatatype="5" unbalanced="0"/>
    <cacheHierarchy uniqueName="[Data].[Ent I]" caption="Ent I" attribute="1" defaultMemberUniqueName="[Data].[Ent I].[All]" allUniqueName="[Data].[Ent I].[All]" dimensionUniqueName="[Data]" displayFolder="" count="0" memberValueDatatype="20" unbalanced="0"/>
    <cacheHierarchy uniqueName="[Data].[Entr/90]" caption="Entr/90" attribute="1" defaultMemberUniqueName="[Data].[Entr/90].[All]" allUniqueName="[Data].[Entr/90].[All]" dimensionUniqueName="[Data]" displayFolder="" count="0" memberValueDatatype="5" unbalanced="0"/>
    <cacheHierarchy uniqueName="[Data].[Ent G]" caption="Ent G" attribute="1" defaultMemberUniqueName="[Data].[Ent G].[All]" allUniqueName="[Data].[Ent G].[All]" dimensionUniqueName="[Data]" displayFolder="" count="0" memberValueDatatype="20" unbalanced="0"/>
    <cacheHierarchy uniqueName="[Data].[Ent Cl]" caption="Ent Cl" attribute="1" defaultMemberUniqueName="[Data].[Ent Cl].[All]" allUniqueName="[Data].[Ent Cl].[All]" dimensionUniqueName="[Data]" displayFolder="" count="0" memberValueDatatype="20" unbalanced="0"/>
    <cacheHierarchy uniqueName="[Data].[Ent Clv/90]" caption="Ent Clv/90" attribute="1" defaultMemberUniqueName="[Data].[Ent Clv/90].[All]" allUniqueName="[Data].[Ent Clv/90].[All]" dimensionUniqueName="[Data]" displayFolder="" count="0" memberValueDatatype="5" unbalanced="0"/>
    <cacheHierarchy uniqueName="[Data].[Ent P]" caption="Ent P" attribute="1" defaultMemberUniqueName="[Data].[Ent P].[All]" allUniqueName="[Data].[Ent P].[All]" dimensionUniqueName="[Data]" displayFolder="" count="0" memberValueDatatype="5" unbalanced="0"/>
    <cacheHierarchy uniqueName="[Data].[Rob]" caption="Rob" attribute="1" defaultMemberUniqueName="[Data].[Rob].[All]" allUniqueName="[Data].[Rob].[All]" dimensionUniqueName="[Data]" displayFolder="" count="0" memberValueDatatype="20" unbalanced="0"/>
    <cacheHierarchy uniqueName="[Data].[Rob/90]" caption="Rob/90" attribute="1" defaultMemberUniqueName="[Data].[Rob/90].[All]" allUniqueName="[Data].[Rob/90].[All]" dimensionUniqueName="[Data]" displayFolder="" count="0" memberValueDatatype="5" unbalanced="0"/>
    <cacheHierarchy uniqueName="[Data].[Pres Int]" caption="Pres Int" attribute="1" defaultMemberUniqueName="[Data].[Pres Int].[All]" allUniqueName="[Data].[Pres Int].[All]" dimensionUniqueName="[Data]" displayFolder="" count="0" memberValueDatatype="20" unbalanced="0"/>
    <cacheHierarchy uniqueName="[Data].[Pres I/90]" caption="Pres I/90" attribute="1" defaultMemberUniqueName="[Data].[Pres I/90].[All]" allUniqueName="[Data].[Pres I/90].[All]" dimensionUniqueName="[Data]" displayFolder="" count="0" memberValueDatatype="5" unbalanced="0"/>
    <cacheHierarchy uniqueName="[Data].[Pres C]" caption="Pres C" attribute="1" defaultMemberUniqueName="[Data].[Pres C].[All]" allUniqueName="[Data].[Pres C].[All]" dimensionUniqueName="[Data]" displayFolder="" count="0" memberValueDatatype="20" unbalanced="0"/>
    <cacheHierarchy uniqueName="[Data].[Pres C/90]" caption="Pres C/90" attribute="1" defaultMemberUniqueName="[Data].[Pres C/90].[All]" allUniqueName="[Data].[Pres C/90].[All]" dimensionUniqueName="[Data]" displayFolder="" count="0" memberValueDatatype="5" unbalanced="0"/>
    <cacheHierarchy uniqueName="[Data].[Pos Perd/90]" caption="Pos Perd/90" attribute="1" defaultMemberUniqueName="[Data].[Pos Perd/90].[All]" allUniqueName="[Data].[Pos Perd/90].[All]" dimensionUniqueName="[Data]" displayFolder="" count="0" memberValueDatatype="5" unbalanced="0"/>
    <cacheHierarchy uniqueName="[Data].[Pos Gan/90]" caption="Pos Gan/90" attribute="1" defaultMemberUniqueName="[Data].[Pos Gan/90].[All]" allUniqueName="[Data].[Pos Gan/90].[All]" dimensionUniqueName="[Data]" displayFolder="" count="0" memberValueDatatype="5" unbalanced="0"/>
    <cacheHierarchy uniqueName="[Data].[Pos Gan/Per /90]" caption="Pos Gan/Per /90" attribute="1" defaultMemberUniqueName="[Data].[Pos Gan/Per /90].[All]" allUniqueName="[Data].[Pos Gan/Per /90].[All]" dimensionUniqueName="[Data]" displayFolder="" count="0" memberValueDatatype="5" unbalanced="0"/>
    <cacheHierarchy uniqueName="[Data].[Desp]" caption="Desp" attribute="1" defaultMemberUniqueName="[Data].[Desp].[All]" allUniqueName="[Data].[Desp].[All]" dimensionUniqueName="[Data]" displayFolder="" count="0" memberValueDatatype="20" unbalanced="0"/>
    <cacheHierarchy uniqueName="[Data].[Desp/90]" caption="Desp/90" attribute="1" defaultMemberUniqueName="[Data].[Desp/90].[All]" allUniqueName="[Data].[Desp/90].[All]" dimensionUniqueName="[Data]" displayFolder="" count="0" memberValueDatatype="5" unbalanced="0"/>
    <cacheHierarchy uniqueName="[Data].[FC]" caption="FC" attribute="1" defaultMemberUniqueName="[Data].[FC].[All]" allUniqueName="[Data].[FC].[All]" dimensionUniqueName="[Data]" displayFolder="" count="0" memberValueDatatype="20" unbalanced="0"/>
    <cacheHierarchy uniqueName="[Data].[Ama]" caption="Ama" attribute="1" defaultMemberUniqueName="[Data].[Ama].[All]" allUniqueName="[Data].[Ama].[All]" dimensionUniqueName="[Data]" displayFolder="" count="0" memberValueDatatype="20" unbalanced="0"/>
    <cacheHierarchy uniqueName="[Data].[Roj.]" caption="Roj." attribute="1" defaultMemberUniqueName="[Data].[Roj.].[All]" allUniqueName="[Data].[Roj.].[All]" dimensionUniqueName="[Data]" displayFolder="" count="0" memberValueDatatype="20" unbalanced="0"/>
    <cacheHierarchy uniqueName="[Data].[Gl Err]" caption="Gl Err" attribute="1" defaultMemberUniqueName="[Data].[Gl Err].[All]" allUniqueName="[Data].[Gl Err].[All]" dimensionUniqueName="[Data]" displayFolder="" count="0" memberValueDatatype="20" unbalanced="0"/>
    <cacheHierarchy uniqueName="[Data].[Rec]" caption="Rec" attribute="1" defaultMemberUniqueName="[Data].[Rec].[All]" allUniqueName="[Data].[Rec].[All]" dimensionUniqueName="[Data]" displayFolder="" count="0" memberValueDatatype="20" unbalanced="0"/>
    <cacheHierarchy uniqueName="[Data].[Rech/90]" caption="Rech/90" attribute="1" defaultMemberUniqueName="[Data].[Rech/90].[All]" allUniqueName="[Data].[Rech/90].[All]" dimensionUniqueName="[Data]" displayFolder="" count="0" memberValueDatatype="130" unbalanced="0"/>
    <cacheHierarchy uniqueName="[Data].[EnEq/90]" caption="EnEq/90" attribute="1" defaultMemberUniqueName="[Data].[EnEq/90].[All]" allUniqueName="[Data].[EnEq/90].[All]" dimensionUniqueName="[Data]" displayFolder="" count="0" memberValueDatatype="5" unbalanced="0"/>
    <cacheHierarchy uniqueName="[Measures].[__XL_Count Data]" caption="__XL_Count Data" measure="1" displayFolder="" measureGroup="Data" count="0" hidden="1"/>
    <cacheHierarchy uniqueName="[Measures].[__No measures defined]" caption="__No measures defined" measure="1" displayFolder="" count="0" hidden="1"/>
    <cacheHierarchy uniqueName="[Measures].[Recuento de Altura]" caption="Recuento de Altura" measure="1" displayFolder="" measureGroup="Data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e Nombre]" caption="Recuento de Nombre" measure="1" displayFolder="" measureGroup="Data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Recuento de Sueldo]" caption="Recuento de Sueldo" measure="1" displayFolder="" measureGroup="Dat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Sueldo]" caption="Recuento distinto de Sueldo" measure="1" displayFolder="" measureGroup="Dat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a de Ent Clv/90]" caption="Suma de Ent Clv/90" measure="1" displayFolder="" measureGroup="Data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Entr/90]" caption="Suma de Entr/90" measure="1" displayFolder="" measureGroup="Data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a de Ps C/90]" caption="Suma de Ps C/90" measure="1" displayFolder="" measureGroup="Data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a de % Pase]" caption="Suma de % Pase" measure="1" displayFolder="" measureGroup="Data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a de Min]" caption="Suma de Min" measure="1" displayFolder="" measureGroup="Data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a de Media]" caption="Suma de Media" measure="1" displayFolder="" measureGroup="Data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Bal aér/90]" caption="Suma de Bal aér/90" measure="1" displayFolder="" measureGroup="Da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a de Cab G/90]" caption="Suma de Cab G/90" measure="1" displayFolder="" measureGroup="Data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Cab Clv/90]" caption="Suma de Cab Clv/90" measure="1" displayFolder="" measureGroup="Data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a de Cab Int]" caption="Suma de Cab Int" measure="1" displayFolder="" measureGroup="Data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a de Cab]" caption="Suma de Cab" measure="1" displayFolder="" measureGroup="Data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Rcg %]" caption="Suma de Rcg %" measure="1" displayFolder="" measureGroup="Data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Ent P]" caption="Suma de Ent P" measure="1" displayFolder="" measureGroup="Data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EnEq/90]" caption="Suma de EnEq/90" measure="1" displayFolder="" measureGroup="Data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a de Ent G]" caption="Suma de Ent G" measure="1" displayFolder="" measureGroup="Data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a de Rob/90]" caption="Suma de Rob/90" measure="1" displayFolder="" measureGroup="Data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a de Pres C/90]" caption="Suma de Pres C/90" measure="1" displayFolder="" measureGroup="Data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Desp/90]" caption="Suma de Desp/90" measure="1" displayFolder="" measureGroup="Data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Recuento de Rech/90]" caption="Recuento de Rech/90" measure="1" displayFolder="" measureGroup="Data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a de Ama]" caption="Suma de Ama" measure="1" displayFolder="" measureGroup="Data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a de Pos Gan/90]" caption="Suma de Pos Gan/90" measure="1" displayFolder="" measureGroup="Data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Pos Perd/90]" caption="Suma de Pos Perd/90" measure="1" displayFolder="" measureGroup="Data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a de Pos Gan/Per /90]" caption="Suma de Pos Gan/Per /90" measure="1" displayFolder="" measureGroup="Data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</cacheHierarchies>
  <kpis count="0"/>
  <dimensions count="2">
    <dimension name="Data" uniqueName="[Data]" caption="Data"/>
    <dimension measure="1" name="Measures" uniqueName="[Measures]" caption="Measures"/>
  </dimensions>
  <measureGroups count="1">
    <measureGroup name="Data" caption="Data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" refreshedDate="45116.750249189812" backgroundQuery="1" createdVersion="8" refreshedVersion="8" minRefreshableVersion="3" recordCount="0" supportSubquery="1" supportAdvancedDrill="1" xr:uid="{7064AE43-A448-4AAD-BE7C-673AFA820033}">
  <cacheSource type="external" connectionId="1"/>
  <cacheFields count="2">
    <cacheField name="[Data].[Nombre].[Nombre]" caption="Nombre" numFmtId="0" level="1">
      <sharedItems count="26">
        <s v="Álex Pérez"/>
        <s v="Attila Szalai"/>
        <s v="Damián Canedo"/>
        <s v="Dan Happe"/>
        <s v="David Carmo"/>
        <s v="David Domgjoni"/>
        <s v="Dimitrie Deumi Nappi"/>
        <s v="Dominic Revan"/>
        <s v="Ertuğrul Kurtuluş"/>
        <s v="Jorge Herrando"/>
        <s v="José Manuel Copete"/>
        <s v="Luis Binks"/>
        <s v="Luka Lochoshvili"/>
        <s v="Mariano Fazio"/>
        <s v="Marin Pongračić"/>
        <s v="Matthias Ginter"/>
        <s v="Maxime Estève"/>
        <s v="Nicolás Meriano"/>
        <s v="Nicolas Taravel"/>
        <s v="Nikos Michelis"/>
        <s v="Ousmane Diomandé"/>
        <s v="Patric Pfeiffer"/>
        <s v="Samuel Biek"/>
        <s v="Samuel Gómez"/>
        <s v="Strahinja Pavlović"/>
        <s v="Stuart Findlay"/>
      </sharedItems>
    </cacheField>
    <cacheField name="[Measures].[Suma de Rcg %]" caption="Suma de Rcg %" numFmtId="0" hierarchy="68" level="32767"/>
  </cacheFields>
  <cacheHierarchies count="80">
    <cacheHierarchy uniqueName="[Data].[Nombre]" caption="Nombre" attribute="1" defaultMemberUniqueName="[Data].[Nombre].[All]" allUniqueName="[Data].[Nombre].[All]" dimensionUniqueName="[Data]" displayFolder="" count="2" memberValueDatatype="130" unbalanced="0">
      <fieldsUsage count="2">
        <fieldUsage x="-1"/>
        <fieldUsage x="0"/>
      </fieldsUsage>
    </cacheHierarchy>
    <cacheHierarchy uniqueName="[Data].[Altura]" caption="Altura" attribute="1" defaultMemberUniqueName="[Data].[Altura].[All]" allUniqueName="[Data].[Altura].[All]" dimensionUniqueName="[Data]" displayFolder="" count="2" memberValueDatatype="20" unbalanced="0"/>
    <cacheHierarchy uniqueName="[Data].[Peso]" caption="Peso" attribute="1" defaultMemberUniqueName="[Data].[Peso].[All]" allUniqueName="[Data].[Peso].[All]" dimensionUniqueName="[Data]" displayFolder="" count="0" memberValueDatatype="130" unbalanced="0"/>
    <cacheHierarchy uniqueName="[Data].[Final]" caption="Final" attribute="1" time="1" defaultMemberUniqueName="[Data].[Final].[All]" allUniqueName="[Data].[Final].[All]" dimensionUniqueName="[Data]" displayFolder="" count="0" memberValueDatatype="7" unbalanced="0"/>
    <cacheHierarchy uniqueName="[Data].[Sueldo]" caption="Sueldo" attribute="1" defaultMemberUniqueName="[Data].[Sueldo].[All]" allUniqueName="[Data].[Sueldo].[All]" dimensionUniqueName="[Data]" displayFolder="" count="2" memberValueDatatype="130" unbalanced="0"/>
    <cacheHierarchy uniqueName="[Data].[Min]" caption="Min" attribute="1" defaultMemberUniqueName="[Data].[Min].[All]" allUniqueName="[Data].[Min].[All]" dimensionUniqueName="[Data]" displayFolder="" count="2" memberValueDatatype="20" unbalanced="0"/>
    <cacheHierarchy uniqueName="[Data].[Part]" caption="Part" attribute="1" defaultMemberUniqueName="[Data].[Part].[All]" allUniqueName="[Data].[Part].[All]" dimensionUniqueName="[Data]" displayFolder="" count="0" memberValueDatatype="130" unbalanced="0"/>
    <cacheHierarchy uniqueName="[Data].[Dist/90]" caption="Dist/90" attribute="1" defaultMemberUniqueName="[Data].[Dist/90].[All]" allUniqueName="[Data].[Dist/90].[All]" dimensionUniqueName="[Data]" displayFolder="" count="0" memberValueDatatype="130" unbalanced="0"/>
    <cacheHierarchy uniqueName="[Data].[Media]" caption="Media" attribute="1" defaultMemberUniqueName="[Data].[Media].[All]" allUniqueName="[Data].[Media].[All]" dimensionUniqueName="[Data]" displayFolder="" count="2" memberValueDatatype="5" unbalanced="0"/>
    <cacheHierarchy uniqueName="[Data].[Ps I/90]" caption="Ps I/90" attribute="1" defaultMemberUniqueName="[Data].[Ps I/90].[All]" allUniqueName="[Data].[Ps I/90].[All]" dimensionUniqueName="[Data]" displayFolder="" count="0" memberValueDatatype="5" unbalanced="0"/>
    <cacheHierarchy uniqueName="[Data].[Ps C/90]" caption="Ps C/90" attribute="1" defaultMemberUniqueName="[Data].[Ps C/90].[All]" allUniqueName="[Data].[Ps C/90].[All]" dimensionUniqueName="[Data]" displayFolder="" count="0" memberValueDatatype="5" unbalanced="0"/>
    <cacheHierarchy uniqueName="[Data].[Pases prog/90]" caption="Pases prog/90" attribute="1" defaultMemberUniqueName="[Data].[Pases prog/90].[All]" allUniqueName="[Data].[Pases prog/90].[All]" dimensionUniqueName="[Data]" displayFolder="" count="0" memberValueDatatype="5" unbalanced="0"/>
    <cacheHierarchy uniqueName="[Data].[Pas Clv/90]" caption="Pas Clv/90" attribute="1" defaultMemberUniqueName="[Data].[Pas Clv/90].[All]" allUniqueName="[Data].[Pas Clv/90].[All]" dimensionUniqueName="[Data]" displayFolder="" count="0" memberValueDatatype="130" unbalanced="0"/>
    <cacheHierarchy uniqueName="[Data].[P Clv- J Ab]" caption="P Clv- J Ab" attribute="1" defaultMemberUniqueName="[Data].[P Clv- J Ab].[All]" allUniqueName="[Data].[P Clv- J Ab].[All]" dimensionUniqueName="[Data]" displayFolder="" count="0" memberValueDatatype="20" unbalanced="0"/>
    <cacheHierarchy uniqueName="[Data].[P Clv-J Ab/90]" caption="P Clv-J Ab/90" attribute="1" defaultMemberUniqueName="[Data].[P Clv-J Ab/90].[All]" allUniqueName="[Data].[P Clv-J Ab/90].[All]" dimensionUniqueName="[Data]" displayFolder="" count="0" memberValueDatatype="5" unbalanced="0"/>
    <cacheHierarchy uniqueName="[Data].[% Pase]" caption="% Pase" attribute="1" defaultMemberUniqueName="[Data].[% Pase].[All]" allUniqueName="[Data].[% Pase].[All]" dimensionUniqueName="[Data]" displayFolder="" count="0" memberValueDatatype="5" unbalanced="0"/>
    <cacheHierarchy uniqueName="[Data].[TirP/90]" caption="TirP/90" attribute="1" defaultMemberUniqueName="[Data].[TirP/90].[All]" allUniqueName="[Data].[TirP/90].[All]" dimensionUniqueName="[Data]" displayFolder="" count="0" memberValueDatatype="130" unbalanced="0"/>
    <cacheHierarchy uniqueName="[Data].[Gol]" caption="Gol" attribute="1" defaultMemberUniqueName="[Data].[Gol].[All]" allUniqueName="[Data].[Gol].[All]" dimensionUniqueName="[Data]" displayFolder="" count="0" memberValueDatatype="20" unbalanced="0"/>
    <cacheHierarchy uniqueName="[Data].[Reg]" caption="Reg" attribute="1" defaultMemberUniqueName="[Data].[Reg].[All]" allUniqueName="[Data].[Reg].[All]" dimensionUniqueName="[Data]" displayFolder="" count="0" memberValueDatatype="20" unbalanced="0"/>
    <cacheHierarchy uniqueName="[Data].[Reg/90]" caption="Reg/90" attribute="1" defaultMemberUniqueName="[Data].[Reg/90].[All]" allUniqueName="[Data].[Reg/90].[All]" dimensionUniqueName="[Data]" displayFolder="" count="0" memberValueDatatype="130" unbalanced="0"/>
    <cacheHierarchy uniqueName="[Data].[FR]" caption="FR" attribute="1" defaultMemberUniqueName="[Data].[FR].[All]" allUniqueName="[Data].[FR].[All]" dimensionUniqueName="[Data]" displayFolder="" count="0" memberValueDatatype="20" unbalanced="0"/>
    <cacheHierarchy uniqueName="[Data].[Cab Int]" caption="Cab Int" attribute="1" defaultMemberUniqueName="[Data].[Cab Int].[All]" allUniqueName="[Data].[Cab Int].[All]" dimensionUniqueName="[Data]" displayFolder="" count="0" memberValueDatatype="20" unbalanced="0"/>
    <cacheHierarchy uniqueName="[Data].[Bal aér/90]" caption="Bal aér/90" attribute="1" defaultMemberUniqueName="[Data].[Bal aér/90].[All]" allUniqueName="[Data].[Bal aér/90].[All]" dimensionUniqueName="[Data]" displayFolder="" count="0" memberValueDatatype="5" unbalanced="0"/>
    <cacheHierarchy uniqueName="[Data].[Cab]" caption="Cab" attribute="1" defaultMemberUniqueName="[Data].[Cab].[All]" allUniqueName="[Data].[Cab].[All]" dimensionUniqueName="[Data]" displayFolder="" count="0" memberValueDatatype="20" unbalanced="0"/>
    <cacheHierarchy uniqueName="[Data].[Cab G/90]" caption="Cab G/90" attribute="1" defaultMemberUniqueName="[Data].[Cab G/90].[All]" allUniqueName="[Data].[Cab G/90].[All]" dimensionUniqueName="[Data]" displayFolder="" count="0" memberValueDatatype="5" unbalanced="0"/>
    <cacheHierarchy uniqueName="[Data].[Cab Clv/90]" caption="Cab Clv/90" attribute="1" defaultMemberUniqueName="[Data].[Cab Clv/90].[All]" allUniqueName="[Data].[Cab Clv/90].[All]" dimensionUniqueName="[Data]" displayFolder="" count="0" memberValueDatatype="5" unbalanced="0"/>
    <cacheHierarchy uniqueName="[Data].[Rcg %]" caption="Rcg %" attribute="1" defaultMemberUniqueName="[Data].[Rcg %].[All]" allUniqueName="[Data].[Rcg %].[All]" dimensionUniqueName="[Data]" displayFolder="" count="0" memberValueDatatype="5" unbalanced="0"/>
    <cacheHierarchy uniqueName="[Data].[Ent I]" caption="Ent I" attribute="1" defaultMemberUniqueName="[Data].[Ent I].[All]" allUniqueName="[Data].[Ent I].[All]" dimensionUniqueName="[Data]" displayFolder="" count="0" memberValueDatatype="20" unbalanced="0"/>
    <cacheHierarchy uniqueName="[Data].[Entr/90]" caption="Entr/90" attribute="1" defaultMemberUniqueName="[Data].[Entr/90].[All]" allUniqueName="[Data].[Entr/90].[All]" dimensionUniqueName="[Data]" displayFolder="" count="0" memberValueDatatype="5" unbalanced="0"/>
    <cacheHierarchy uniqueName="[Data].[Ent G]" caption="Ent G" attribute="1" defaultMemberUniqueName="[Data].[Ent G].[All]" allUniqueName="[Data].[Ent G].[All]" dimensionUniqueName="[Data]" displayFolder="" count="0" memberValueDatatype="20" unbalanced="0"/>
    <cacheHierarchy uniqueName="[Data].[Ent Cl]" caption="Ent Cl" attribute="1" defaultMemberUniqueName="[Data].[Ent Cl].[All]" allUniqueName="[Data].[Ent Cl].[All]" dimensionUniqueName="[Data]" displayFolder="" count="0" memberValueDatatype="20" unbalanced="0"/>
    <cacheHierarchy uniqueName="[Data].[Ent Clv/90]" caption="Ent Clv/90" attribute="1" defaultMemberUniqueName="[Data].[Ent Clv/90].[All]" allUniqueName="[Data].[Ent Clv/90].[All]" dimensionUniqueName="[Data]" displayFolder="" count="0" memberValueDatatype="5" unbalanced="0"/>
    <cacheHierarchy uniqueName="[Data].[Ent P]" caption="Ent P" attribute="1" defaultMemberUniqueName="[Data].[Ent P].[All]" allUniqueName="[Data].[Ent P].[All]" dimensionUniqueName="[Data]" displayFolder="" count="0" memberValueDatatype="5" unbalanced="0"/>
    <cacheHierarchy uniqueName="[Data].[Rob]" caption="Rob" attribute="1" defaultMemberUniqueName="[Data].[Rob].[All]" allUniqueName="[Data].[Rob].[All]" dimensionUniqueName="[Data]" displayFolder="" count="0" memberValueDatatype="20" unbalanced="0"/>
    <cacheHierarchy uniqueName="[Data].[Rob/90]" caption="Rob/90" attribute="1" defaultMemberUniqueName="[Data].[Rob/90].[All]" allUniqueName="[Data].[Rob/90].[All]" dimensionUniqueName="[Data]" displayFolder="" count="0" memberValueDatatype="5" unbalanced="0"/>
    <cacheHierarchy uniqueName="[Data].[Pres Int]" caption="Pres Int" attribute="1" defaultMemberUniqueName="[Data].[Pres Int].[All]" allUniqueName="[Data].[Pres Int].[All]" dimensionUniqueName="[Data]" displayFolder="" count="0" memberValueDatatype="20" unbalanced="0"/>
    <cacheHierarchy uniqueName="[Data].[Pres I/90]" caption="Pres I/90" attribute="1" defaultMemberUniqueName="[Data].[Pres I/90].[All]" allUniqueName="[Data].[Pres I/90].[All]" dimensionUniqueName="[Data]" displayFolder="" count="0" memberValueDatatype="5" unbalanced="0"/>
    <cacheHierarchy uniqueName="[Data].[Pres C]" caption="Pres C" attribute="1" defaultMemberUniqueName="[Data].[Pres C].[All]" allUniqueName="[Data].[Pres C].[All]" dimensionUniqueName="[Data]" displayFolder="" count="0" memberValueDatatype="20" unbalanced="0"/>
    <cacheHierarchy uniqueName="[Data].[Pres C/90]" caption="Pres C/90" attribute="1" defaultMemberUniqueName="[Data].[Pres C/90].[All]" allUniqueName="[Data].[Pres C/90].[All]" dimensionUniqueName="[Data]" displayFolder="" count="0" memberValueDatatype="5" unbalanced="0"/>
    <cacheHierarchy uniqueName="[Data].[Pos Perd/90]" caption="Pos Perd/90" attribute="1" defaultMemberUniqueName="[Data].[Pos Perd/90].[All]" allUniqueName="[Data].[Pos Perd/90].[All]" dimensionUniqueName="[Data]" displayFolder="" count="0" memberValueDatatype="5" unbalanced="0"/>
    <cacheHierarchy uniqueName="[Data].[Pos Gan/90]" caption="Pos Gan/90" attribute="1" defaultMemberUniqueName="[Data].[Pos Gan/90].[All]" allUniqueName="[Data].[Pos Gan/90].[All]" dimensionUniqueName="[Data]" displayFolder="" count="0" memberValueDatatype="5" unbalanced="0"/>
    <cacheHierarchy uniqueName="[Data].[Pos Gan/Per /90]" caption="Pos Gan/Per /90" attribute="1" defaultMemberUniqueName="[Data].[Pos Gan/Per /90].[All]" allUniqueName="[Data].[Pos Gan/Per /90].[All]" dimensionUniqueName="[Data]" displayFolder="" count="0" memberValueDatatype="5" unbalanced="0"/>
    <cacheHierarchy uniqueName="[Data].[Desp]" caption="Desp" attribute="1" defaultMemberUniqueName="[Data].[Desp].[All]" allUniqueName="[Data].[Desp].[All]" dimensionUniqueName="[Data]" displayFolder="" count="0" memberValueDatatype="20" unbalanced="0"/>
    <cacheHierarchy uniqueName="[Data].[Desp/90]" caption="Desp/90" attribute="1" defaultMemberUniqueName="[Data].[Desp/90].[All]" allUniqueName="[Data].[Desp/90].[All]" dimensionUniqueName="[Data]" displayFolder="" count="0" memberValueDatatype="5" unbalanced="0"/>
    <cacheHierarchy uniqueName="[Data].[FC]" caption="FC" attribute="1" defaultMemberUniqueName="[Data].[FC].[All]" allUniqueName="[Data].[FC].[All]" dimensionUniqueName="[Data]" displayFolder="" count="0" memberValueDatatype="20" unbalanced="0"/>
    <cacheHierarchy uniqueName="[Data].[Ama]" caption="Ama" attribute="1" defaultMemberUniqueName="[Data].[Ama].[All]" allUniqueName="[Data].[Ama].[All]" dimensionUniqueName="[Data]" displayFolder="" count="0" memberValueDatatype="20" unbalanced="0"/>
    <cacheHierarchy uniqueName="[Data].[Roj.]" caption="Roj." attribute="1" defaultMemberUniqueName="[Data].[Roj.].[All]" allUniqueName="[Data].[Roj.].[All]" dimensionUniqueName="[Data]" displayFolder="" count="0" memberValueDatatype="20" unbalanced="0"/>
    <cacheHierarchy uniqueName="[Data].[Gl Err]" caption="Gl Err" attribute="1" defaultMemberUniqueName="[Data].[Gl Err].[All]" allUniqueName="[Data].[Gl Err].[All]" dimensionUniqueName="[Data]" displayFolder="" count="0" memberValueDatatype="20" unbalanced="0"/>
    <cacheHierarchy uniqueName="[Data].[Rec]" caption="Rec" attribute="1" defaultMemberUniqueName="[Data].[Rec].[All]" allUniqueName="[Data].[Rec].[All]" dimensionUniqueName="[Data]" displayFolder="" count="0" memberValueDatatype="20" unbalanced="0"/>
    <cacheHierarchy uniqueName="[Data].[Rech/90]" caption="Rech/90" attribute="1" defaultMemberUniqueName="[Data].[Rech/90].[All]" allUniqueName="[Data].[Rech/90].[All]" dimensionUniqueName="[Data]" displayFolder="" count="0" memberValueDatatype="130" unbalanced="0"/>
    <cacheHierarchy uniqueName="[Data].[EnEq/90]" caption="EnEq/90" attribute="1" defaultMemberUniqueName="[Data].[EnEq/90].[All]" allUniqueName="[Data].[EnEq/90].[All]" dimensionUniqueName="[Data]" displayFolder="" count="0" memberValueDatatype="5" unbalanced="0"/>
    <cacheHierarchy uniqueName="[Measures].[__XL_Count Data]" caption="__XL_Count Data" measure="1" displayFolder="" measureGroup="Data" count="0" hidden="1"/>
    <cacheHierarchy uniqueName="[Measures].[__No measures defined]" caption="__No measures defined" measure="1" displayFolder="" count="0" hidden="1"/>
    <cacheHierarchy uniqueName="[Measures].[Recuento de Altura]" caption="Recuento de Altura" measure="1" displayFolder="" measureGroup="Data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e Nombre]" caption="Recuento de Nombre" measure="1" displayFolder="" measureGroup="Data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Recuento de Sueldo]" caption="Recuento de Sueldo" measure="1" displayFolder="" measureGroup="Dat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Sueldo]" caption="Recuento distinto de Sueldo" measure="1" displayFolder="" measureGroup="Dat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a de Ent Clv/90]" caption="Suma de Ent Clv/90" measure="1" displayFolder="" measureGroup="Data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Entr/90]" caption="Suma de Entr/90" measure="1" displayFolder="" measureGroup="Data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a de Ps C/90]" caption="Suma de Ps C/90" measure="1" displayFolder="" measureGroup="Data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a de % Pase]" caption="Suma de % Pase" measure="1" displayFolder="" measureGroup="Data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a de Min]" caption="Suma de Min" measure="1" displayFolder="" measureGroup="Data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a de Media]" caption="Suma de Media" measure="1" displayFolder="" measureGroup="Data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Bal aér/90]" caption="Suma de Bal aér/90" measure="1" displayFolder="" measureGroup="Data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a de Cab G/90]" caption="Suma de Cab G/90" measure="1" displayFolder="" measureGroup="Data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Cab Clv/90]" caption="Suma de Cab Clv/90" measure="1" displayFolder="" measureGroup="Data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a de Cab Int]" caption="Suma de Cab Int" measure="1" displayFolder="" measureGroup="Data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a de Cab]" caption="Suma de Cab" measure="1" displayFolder="" measureGroup="Data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Rcg %]" caption="Suma de Rcg %" measure="1" displayFolder="" measureGroup="Da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Ent P]" caption="Suma de Ent P" measure="1" displayFolder="" measureGroup="Data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EnEq/90]" caption="Suma de EnEq/90" measure="1" displayFolder="" measureGroup="Data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a de Ent G]" caption="Suma de Ent G" measure="1" displayFolder="" measureGroup="Data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a de Rob/90]" caption="Suma de Rob/90" measure="1" displayFolder="" measureGroup="Data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a de Pres C/90]" caption="Suma de Pres C/90" measure="1" displayFolder="" measureGroup="Data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Desp/90]" caption="Suma de Desp/90" measure="1" displayFolder="" measureGroup="Data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Recuento de Rech/90]" caption="Recuento de Rech/90" measure="1" displayFolder="" measureGroup="Data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a de Ama]" caption="Suma de Ama" measure="1" displayFolder="" measureGroup="Data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a de Pos Gan/90]" caption="Suma de Pos Gan/90" measure="1" displayFolder="" measureGroup="Data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Pos Perd/90]" caption="Suma de Pos Perd/90" measure="1" displayFolder="" measureGroup="Data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a de Pos Gan/Per /90]" caption="Suma de Pos Gan/Per /90" measure="1" displayFolder="" measureGroup="Data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</cacheHierarchies>
  <kpis count="0"/>
  <dimensions count="2">
    <dimension name="Data" uniqueName="[Data]" caption="Data"/>
    <dimension measure="1" name="Measures" uniqueName="[Measures]" caption="Measures"/>
  </dimensions>
  <measureGroups count="1">
    <measureGroup name="Data" caption="Data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" refreshedDate="45116.75024976852" backgroundQuery="1" createdVersion="8" refreshedVersion="8" minRefreshableVersion="3" recordCount="0" supportSubquery="1" supportAdvancedDrill="1" xr:uid="{E0B5681F-2538-4FE8-9A70-975AF66607F4}">
  <cacheSource type="external" connectionId="1"/>
  <cacheFields count="3">
    <cacheField name="[Data].[Nombre].[Nombre]" caption="Nombre" numFmtId="0" level="1">
      <sharedItems count="26">
        <s v="Álex Pérez"/>
        <s v="Attila Szalai"/>
        <s v="Damián Canedo"/>
        <s v="Dan Happe"/>
        <s v="David Carmo"/>
        <s v="David Domgjoni"/>
        <s v="Dimitrie Deumi Nappi"/>
        <s v="Dominic Revan"/>
        <s v="Ertuğrul Kurtuluş"/>
        <s v="Jorge Herrando"/>
        <s v="José Manuel Copete"/>
        <s v="Luis Binks"/>
        <s v="Luka Lochoshvili"/>
        <s v="Mariano Fazio"/>
        <s v="Marin Pongračić"/>
        <s v="Matthias Ginter"/>
        <s v="Maxime Estève"/>
        <s v="Nicolás Meriano"/>
        <s v="Nicolas Taravel"/>
        <s v="Nikos Michelis"/>
        <s v="Ousmane Diomandé"/>
        <s v="Patric Pfeiffer"/>
        <s v="Samuel Biek"/>
        <s v="Samuel Gómez"/>
        <s v="Strahinja Pavlović"/>
        <s v="Stuart Findlay"/>
      </sharedItems>
    </cacheField>
    <cacheField name="[Measures].[Suma de Bal aér/90]" caption="Suma de Bal aér/90" numFmtId="0" hierarchy="63" level="32767"/>
    <cacheField name="[Measures].[Suma de Cab Clv/90]" caption="Suma de Cab Clv/90" numFmtId="0" hierarchy="65" level="32767"/>
  </cacheFields>
  <cacheHierarchies count="80">
    <cacheHierarchy uniqueName="[Data].[Nombre]" caption="Nombre" attribute="1" defaultMemberUniqueName="[Data].[Nombre].[All]" allUniqueName="[Data].[Nombre].[All]" dimensionUniqueName="[Data]" displayFolder="" count="2" memberValueDatatype="130" unbalanced="0">
      <fieldsUsage count="2">
        <fieldUsage x="-1"/>
        <fieldUsage x="0"/>
      </fieldsUsage>
    </cacheHierarchy>
    <cacheHierarchy uniqueName="[Data].[Altura]" caption="Altura" attribute="1" defaultMemberUniqueName="[Data].[Altura].[All]" allUniqueName="[Data].[Altura].[All]" dimensionUniqueName="[Data]" displayFolder="" count="2" memberValueDatatype="20" unbalanced="0"/>
    <cacheHierarchy uniqueName="[Data].[Peso]" caption="Peso" attribute="1" defaultMemberUniqueName="[Data].[Peso].[All]" allUniqueName="[Data].[Peso].[All]" dimensionUniqueName="[Data]" displayFolder="" count="0" memberValueDatatype="130" unbalanced="0"/>
    <cacheHierarchy uniqueName="[Data].[Final]" caption="Final" attribute="1" time="1" defaultMemberUniqueName="[Data].[Final].[All]" allUniqueName="[Data].[Final].[All]" dimensionUniqueName="[Data]" displayFolder="" count="0" memberValueDatatype="7" unbalanced="0"/>
    <cacheHierarchy uniqueName="[Data].[Sueldo]" caption="Sueldo" attribute="1" defaultMemberUniqueName="[Data].[Sueldo].[All]" allUniqueName="[Data].[Sueldo].[All]" dimensionUniqueName="[Data]" displayFolder="" count="2" memberValueDatatype="130" unbalanced="0"/>
    <cacheHierarchy uniqueName="[Data].[Min]" caption="Min" attribute="1" defaultMemberUniqueName="[Data].[Min].[All]" allUniqueName="[Data].[Min].[All]" dimensionUniqueName="[Data]" displayFolder="" count="2" memberValueDatatype="20" unbalanced="0"/>
    <cacheHierarchy uniqueName="[Data].[Part]" caption="Part" attribute="1" defaultMemberUniqueName="[Data].[Part].[All]" allUniqueName="[Data].[Part].[All]" dimensionUniqueName="[Data]" displayFolder="" count="0" memberValueDatatype="130" unbalanced="0"/>
    <cacheHierarchy uniqueName="[Data].[Dist/90]" caption="Dist/90" attribute="1" defaultMemberUniqueName="[Data].[Dist/90].[All]" allUniqueName="[Data].[Dist/90].[All]" dimensionUniqueName="[Data]" displayFolder="" count="0" memberValueDatatype="130" unbalanced="0"/>
    <cacheHierarchy uniqueName="[Data].[Media]" caption="Media" attribute="1" defaultMemberUniqueName="[Data].[Media].[All]" allUniqueName="[Data].[Media].[All]" dimensionUniqueName="[Data]" displayFolder="" count="2" memberValueDatatype="5" unbalanced="0"/>
    <cacheHierarchy uniqueName="[Data].[Ps I/90]" caption="Ps I/90" attribute="1" defaultMemberUniqueName="[Data].[Ps I/90].[All]" allUniqueName="[Data].[Ps I/90].[All]" dimensionUniqueName="[Data]" displayFolder="" count="0" memberValueDatatype="5" unbalanced="0"/>
    <cacheHierarchy uniqueName="[Data].[Ps C/90]" caption="Ps C/90" attribute="1" defaultMemberUniqueName="[Data].[Ps C/90].[All]" allUniqueName="[Data].[Ps C/90].[All]" dimensionUniqueName="[Data]" displayFolder="" count="0" memberValueDatatype="5" unbalanced="0"/>
    <cacheHierarchy uniqueName="[Data].[Pases prog/90]" caption="Pases prog/90" attribute="1" defaultMemberUniqueName="[Data].[Pases prog/90].[All]" allUniqueName="[Data].[Pases prog/90].[All]" dimensionUniqueName="[Data]" displayFolder="" count="0" memberValueDatatype="5" unbalanced="0"/>
    <cacheHierarchy uniqueName="[Data].[Pas Clv/90]" caption="Pas Clv/90" attribute="1" defaultMemberUniqueName="[Data].[Pas Clv/90].[All]" allUniqueName="[Data].[Pas Clv/90].[All]" dimensionUniqueName="[Data]" displayFolder="" count="0" memberValueDatatype="130" unbalanced="0"/>
    <cacheHierarchy uniqueName="[Data].[P Clv- J Ab]" caption="P Clv- J Ab" attribute="1" defaultMemberUniqueName="[Data].[P Clv- J Ab].[All]" allUniqueName="[Data].[P Clv- J Ab].[All]" dimensionUniqueName="[Data]" displayFolder="" count="0" memberValueDatatype="20" unbalanced="0"/>
    <cacheHierarchy uniqueName="[Data].[P Clv-J Ab/90]" caption="P Clv-J Ab/90" attribute="1" defaultMemberUniqueName="[Data].[P Clv-J Ab/90].[All]" allUniqueName="[Data].[P Clv-J Ab/90].[All]" dimensionUniqueName="[Data]" displayFolder="" count="0" memberValueDatatype="5" unbalanced="0"/>
    <cacheHierarchy uniqueName="[Data].[% Pase]" caption="% Pase" attribute="1" defaultMemberUniqueName="[Data].[% Pase].[All]" allUniqueName="[Data].[% Pase].[All]" dimensionUniqueName="[Data]" displayFolder="" count="0" memberValueDatatype="5" unbalanced="0"/>
    <cacheHierarchy uniqueName="[Data].[TirP/90]" caption="TirP/90" attribute="1" defaultMemberUniqueName="[Data].[TirP/90].[All]" allUniqueName="[Data].[TirP/90].[All]" dimensionUniqueName="[Data]" displayFolder="" count="0" memberValueDatatype="130" unbalanced="0"/>
    <cacheHierarchy uniqueName="[Data].[Gol]" caption="Gol" attribute="1" defaultMemberUniqueName="[Data].[Gol].[All]" allUniqueName="[Data].[Gol].[All]" dimensionUniqueName="[Data]" displayFolder="" count="0" memberValueDatatype="20" unbalanced="0"/>
    <cacheHierarchy uniqueName="[Data].[Reg]" caption="Reg" attribute="1" defaultMemberUniqueName="[Data].[Reg].[All]" allUniqueName="[Data].[Reg].[All]" dimensionUniqueName="[Data]" displayFolder="" count="0" memberValueDatatype="20" unbalanced="0"/>
    <cacheHierarchy uniqueName="[Data].[Reg/90]" caption="Reg/90" attribute="1" defaultMemberUniqueName="[Data].[Reg/90].[All]" allUniqueName="[Data].[Reg/90].[All]" dimensionUniqueName="[Data]" displayFolder="" count="0" memberValueDatatype="130" unbalanced="0"/>
    <cacheHierarchy uniqueName="[Data].[FR]" caption="FR" attribute="1" defaultMemberUniqueName="[Data].[FR].[All]" allUniqueName="[Data].[FR].[All]" dimensionUniqueName="[Data]" displayFolder="" count="0" memberValueDatatype="20" unbalanced="0"/>
    <cacheHierarchy uniqueName="[Data].[Cab Int]" caption="Cab Int" attribute="1" defaultMemberUniqueName="[Data].[Cab Int].[All]" allUniqueName="[Data].[Cab Int].[All]" dimensionUniqueName="[Data]" displayFolder="" count="0" memberValueDatatype="20" unbalanced="0"/>
    <cacheHierarchy uniqueName="[Data].[Bal aér/90]" caption="Bal aér/90" attribute="1" defaultMemberUniqueName="[Data].[Bal aér/90].[All]" allUniqueName="[Data].[Bal aér/90].[All]" dimensionUniqueName="[Data]" displayFolder="" count="0" memberValueDatatype="5" unbalanced="0"/>
    <cacheHierarchy uniqueName="[Data].[Cab]" caption="Cab" attribute="1" defaultMemberUniqueName="[Data].[Cab].[All]" allUniqueName="[Data].[Cab].[All]" dimensionUniqueName="[Data]" displayFolder="" count="0" memberValueDatatype="20" unbalanced="0"/>
    <cacheHierarchy uniqueName="[Data].[Cab G/90]" caption="Cab G/90" attribute="1" defaultMemberUniqueName="[Data].[Cab G/90].[All]" allUniqueName="[Data].[Cab G/90].[All]" dimensionUniqueName="[Data]" displayFolder="" count="0" memberValueDatatype="5" unbalanced="0"/>
    <cacheHierarchy uniqueName="[Data].[Cab Clv/90]" caption="Cab Clv/90" attribute="1" defaultMemberUniqueName="[Data].[Cab Clv/90].[All]" allUniqueName="[Data].[Cab Clv/90].[All]" dimensionUniqueName="[Data]" displayFolder="" count="0" memberValueDatatype="5" unbalanced="0"/>
    <cacheHierarchy uniqueName="[Data].[Rcg %]" caption="Rcg %" attribute="1" defaultMemberUniqueName="[Data].[Rcg %].[All]" allUniqueName="[Data].[Rcg %].[All]" dimensionUniqueName="[Data]" displayFolder="" count="0" memberValueDatatype="5" unbalanced="0"/>
    <cacheHierarchy uniqueName="[Data].[Ent I]" caption="Ent I" attribute="1" defaultMemberUniqueName="[Data].[Ent I].[All]" allUniqueName="[Data].[Ent I].[All]" dimensionUniqueName="[Data]" displayFolder="" count="0" memberValueDatatype="20" unbalanced="0"/>
    <cacheHierarchy uniqueName="[Data].[Entr/90]" caption="Entr/90" attribute="1" defaultMemberUniqueName="[Data].[Entr/90].[All]" allUniqueName="[Data].[Entr/90].[All]" dimensionUniqueName="[Data]" displayFolder="" count="0" memberValueDatatype="5" unbalanced="0"/>
    <cacheHierarchy uniqueName="[Data].[Ent G]" caption="Ent G" attribute="1" defaultMemberUniqueName="[Data].[Ent G].[All]" allUniqueName="[Data].[Ent G].[All]" dimensionUniqueName="[Data]" displayFolder="" count="0" memberValueDatatype="20" unbalanced="0"/>
    <cacheHierarchy uniqueName="[Data].[Ent Cl]" caption="Ent Cl" attribute="1" defaultMemberUniqueName="[Data].[Ent Cl].[All]" allUniqueName="[Data].[Ent Cl].[All]" dimensionUniqueName="[Data]" displayFolder="" count="0" memberValueDatatype="20" unbalanced="0"/>
    <cacheHierarchy uniqueName="[Data].[Ent Clv/90]" caption="Ent Clv/90" attribute="1" defaultMemberUniqueName="[Data].[Ent Clv/90].[All]" allUniqueName="[Data].[Ent Clv/90].[All]" dimensionUniqueName="[Data]" displayFolder="" count="0" memberValueDatatype="5" unbalanced="0"/>
    <cacheHierarchy uniqueName="[Data].[Ent P]" caption="Ent P" attribute="1" defaultMemberUniqueName="[Data].[Ent P].[All]" allUniqueName="[Data].[Ent P].[All]" dimensionUniqueName="[Data]" displayFolder="" count="0" memberValueDatatype="5" unbalanced="0"/>
    <cacheHierarchy uniqueName="[Data].[Rob]" caption="Rob" attribute="1" defaultMemberUniqueName="[Data].[Rob].[All]" allUniqueName="[Data].[Rob].[All]" dimensionUniqueName="[Data]" displayFolder="" count="0" memberValueDatatype="20" unbalanced="0"/>
    <cacheHierarchy uniqueName="[Data].[Rob/90]" caption="Rob/90" attribute="1" defaultMemberUniqueName="[Data].[Rob/90].[All]" allUniqueName="[Data].[Rob/90].[All]" dimensionUniqueName="[Data]" displayFolder="" count="0" memberValueDatatype="5" unbalanced="0"/>
    <cacheHierarchy uniqueName="[Data].[Pres Int]" caption="Pres Int" attribute="1" defaultMemberUniqueName="[Data].[Pres Int].[All]" allUniqueName="[Data].[Pres Int].[All]" dimensionUniqueName="[Data]" displayFolder="" count="0" memberValueDatatype="20" unbalanced="0"/>
    <cacheHierarchy uniqueName="[Data].[Pres I/90]" caption="Pres I/90" attribute="1" defaultMemberUniqueName="[Data].[Pres I/90].[All]" allUniqueName="[Data].[Pres I/90].[All]" dimensionUniqueName="[Data]" displayFolder="" count="0" memberValueDatatype="5" unbalanced="0"/>
    <cacheHierarchy uniqueName="[Data].[Pres C]" caption="Pres C" attribute="1" defaultMemberUniqueName="[Data].[Pres C].[All]" allUniqueName="[Data].[Pres C].[All]" dimensionUniqueName="[Data]" displayFolder="" count="0" memberValueDatatype="20" unbalanced="0"/>
    <cacheHierarchy uniqueName="[Data].[Pres C/90]" caption="Pres C/90" attribute="1" defaultMemberUniqueName="[Data].[Pres C/90].[All]" allUniqueName="[Data].[Pres C/90].[All]" dimensionUniqueName="[Data]" displayFolder="" count="0" memberValueDatatype="5" unbalanced="0"/>
    <cacheHierarchy uniqueName="[Data].[Pos Perd/90]" caption="Pos Perd/90" attribute="1" defaultMemberUniqueName="[Data].[Pos Perd/90].[All]" allUniqueName="[Data].[Pos Perd/90].[All]" dimensionUniqueName="[Data]" displayFolder="" count="0" memberValueDatatype="5" unbalanced="0"/>
    <cacheHierarchy uniqueName="[Data].[Pos Gan/90]" caption="Pos Gan/90" attribute="1" defaultMemberUniqueName="[Data].[Pos Gan/90].[All]" allUniqueName="[Data].[Pos Gan/90].[All]" dimensionUniqueName="[Data]" displayFolder="" count="0" memberValueDatatype="5" unbalanced="0"/>
    <cacheHierarchy uniqueName="[Data].[Pos Gan/Per /90]" caption="Pos Gan/Per /90" attribute="1" defaultMemberUniqueName="[Data].[Pos Gan/Per /90].[All]" allUniqueName="[Data].[Pos Gan/Per /90].[All]" dimensionUniqueName="[Data]" displayFolder="" count="0" memberValueDatatype="5" unbalanced="0"/>
    <cacheHierarchy uniqueName="[Data].[Desp]" caption="Desp" attribute="1" defaultMemberUniqueName="[Data].[Desp].[All]" allUniqueName="[Data].[Desp].[All]" dimensionUniqueName="[Data]" displayFolder="" count="0" memberValueDatatype="20" unbalanced="0"/>
    <cacheHierarchy uniqueName="[Data].[Desp/90]" caption="Desp/90" attribute="1" defaultMemberUniqueName="[Data].[Desp/90].[All]" allUniqueName="[Data].[Desp/90].[All]" dimensionUniqueName="[Data]" displayFolder="" count="0" memberValueDatatype="5" unbalanced="0"/>
    <cacheHierarchy uniqueName="[Data].[FC]" caption="FC" attribute="1" defaultMemberUniqueName="[Data].[FC].[All]" allUniqueName="[Data].[FC].[All]" dimensionUniqueName="[Data]" displayFolder="" count="0" memberValueDatatype="20" unbalanced="0"/>
    <cacheHierarchy uniqueName="[Data].[Ama]" caption="Ama" attribute="1" defaultMemberUniqueName="[Data].[Ama].[All]" allUniqueName="[Data].[Ama].[All]" dimensionUniqueName="[Data]" displayFolder="" count="0" memberValueDatatype="20" unbalanced="0"/>
    <cacheHierarchy uniqueName="[Data].[Roj.]" caption="Roj." attribute="1" defaultMemberUniqueName="[Data].[Roj.].[All]" allUniqueName="[Data].[Roj.].[All]" dimensionUniqueName="[Data]" displayFolder="" count="0" memberValueDatatype="20" unbalanced="0"/>
    <cacheHierarchy uniqueName="[Data].[Gl Err]" caption="Gl Err" attribute="1" defaultMemberUniqueName="[Data].[Gl Err].[All]" allUniqueName="[Data].[Gl Err].[All]" dimensionUniqueName="[Data]" displayFolder="" count="0" memberValueDatatype="20" unbalanced="0"/>
    <cacheHierarchy uniqueName="[Data].[Rec]" caption="Rec" attribute="1" defaultMemberUniqueName="[Data].[Rec].[All]" allUniqueName="[Data].[Rec].[All]" dimensionUniqueName="[Data]" displayFolder="" count="0" memberValueDatatype="20" unbalanced="0"/>
    <cacheHierarchy uniqueName="[Data].[Rech/90]" caption="Rech/90" attribute="1" defaultMemberUniqueName="[Data].[Rech/90].[All]" allUniqueName="[Data].[Rech/90].[All]" dimensionUniqueName="[Data]" displayFolder="" count="0" memberValueDatatype="130" unbalanced="0"/>
    <cacheHierarchy uniqueName="[Data].[EnEq/90]" caption="EnEq/90" attribute="1" defaultMemberUniqueName="[Data].[EnEq/90].[All]" allUniqueName="[Data].[EnEq/90].[All]" dimensionUniqueName="[Data]" displayFolder="" count="0" memberValueDatatype="5" unbalanced="0"/>
    <cacheHierarchy uniqueName="[Measures].[__XL_Count Data]" caption="__XL_Count Data" measure="1" displayFolder="" measureGroup="Data" count="0" hidden="1"/>
    <cacheHierarchy uniqueName="[Measures].[__No measures defined]" caption="__No measures defined" measure="1" displayFolder="" count="0" hidden="1"/>
    <cacheHierarchy uniqueName="[Measures].[Recuento de Altura]" caption="Recuento de Altura" measure="1" displayFolder="" measureGroup="Data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e Nombre]" caption="Recuento de Nombre" measure="1" displayFolder="" measureGroup="Data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Recuento de Sueldo]" caption="Recuento de Sueldo" measure="1" displayFolder="" measureGroup="Dat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Sueldo]" caption="Recuento distinto de Sueldo" measure="1" displayFolder="" measureGroup="Dat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a de Ent Clv/90]" caption="Suma de Ent Clv/90" measure="1" displayFolder="" measureGroup="Data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Entr/90]" caption="Suma de Entr/90" measure="1" displayFolder="" measureGroup="Data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a de Ps C/90]" caption="Suma de Ps C/90" measure="1" displayFolder="" measureGroup="Data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a de % Pase]" caption="Suma de % Pase" measure="1" displayFolder="" measureGroup="Data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a de Min]" caption="Suma de Min" measure="1" displayFolder="" measureGroup="Data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a de Media]" caption="Suma de Media" measure="1" displayFolder="" measureGroup="Data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Bal aér/90]" caption="Suma de Bal aér/90" measure="1" displayFolder="" measureGroup="Da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a de Cab G/90]" caption="Suma de Cab G/90" measure="1" displayFolder="" measureGroup="Data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Cab Clv/90]" caption="Suma de Cab Clv/90" measure="1" displayFolder="" measureGroup="Data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a de Cab Int]" caption="Suma de Cab Int" measure="1" displayFolder="" measureGroup="Data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a de Cab]" caption="Suma de Cab" measure="1" displayFolder="" measureGroup="Data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Rcg %]" caption="Suma de Rcg %" measure="1" displayFolder="" measureGroup="Data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Ent P]" caption="Suma de Ent P" measure="1" displayFolder="" measureGroup="Data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EnEq/90]" caption="Suma de EnEq/90" measure="1" displayFolder="" measureGroup="Data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a de Ent G]" caption="Suma de Ent G" measure="1" displayFolder="" measureGroup="Data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a de Rob/90]" caption="Suma de Rob/90" measure="1" displayFolder="" measureGroup="Data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a de Pres C/90]" caption="Suma de Pres C/90" measure="1" displayFolder="" measureGroup="Data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Desp/90]" caption="Suma de Desp/90" measure="1" displayFolder="" measureGroup="Data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Recuento de Rech/90]" caption="Recuento de Rech/90" measure="1" displayFolder="" measureGroup="Data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a de Ama]" caption="Suma de Ama" measure="1" displayFolder="" measureGroup="Data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a de Pos Gan/90]" caption="Suma de Pos Gan/90" measure="1" displayFolder="" measureGroup="Data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Pos Perd/90]" caption="Suma de Pos Perd/90" measure="1" displayFolder="" measureGroup="Data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a de Pos Gan/Per /90]" caption="Suma de Pos Gan/Per /90" measure="1" displayFolder="" measureGroup="Data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</cacheHierarchies>
  <kpis count="0"/>
  <dimensions count="2">
    <dimension name="Data" uniqueName="[Data]" caption="Data"/>
    <dimension measure="1" name="Measures" uniqueName="[Measures]" caption="Measures"/>
  </dimensions>
  <measureGroups count="1">
    <measureGroup name="Data" caption="Data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" refreshedDate="45116.542603935188" backgroundQuery="1" createdVersion="3" refreshedVersion="8" minRefreshableVersion="3" recordCount="0" supportSubquery="1" supportAdvancedDrill="1" xr:uid="{5A9DA10A-A90A-431A-8669-627496C2FD9B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80">
    <cacheHierarchy uniqueName="[Data].[Nombre]" caption="Nombre" attribute="1" defaultMemberUniqueName="[Data].[Nombre].[All]" allUniqueName="[Data].[Nombre].[All]" dimensionUniqueName="[Data]" displayFolder="" count="2" memberValueDatatype="130" unbalanced="0"/>
    <cacheHierarchy uniqueName="[Data].[Altura]" caption="Altura" attribute="1" defaultMemberUniqueName="[Data].[Altura].[All]" allUniqueName="[Data].[Altura].[All]" dimensionUniqueName="[Data]" displayFolder="" count="2" memberValueDatatype="20" unbalanced="0"/>
    <cacheHierarchy uniqueName="[Data].[Peso]" caption="Peso" attribute="1" defaultMemberUniqueName="[Data].[Peso].[All]" allUniqueName="[Data].[Peso].[All]" dimensionUniqueName="[Data]" displayFolder="" count="0" memberValueDatatype="130" unbalanced="0"/>
    <cacheHierarchy uniqueName="[Data].[Final]" caption="Final" attribute="1" time="1" defaultMemberUniqueName="[Data].[Final].[All]" allUniqueName="[Data].[Final].[All]" dimensionUniqueName="[Data]" displayFolder="" count="0" memberValueDatatype="7" unbalanced="0"/>
    <cacheHierarchy uniqueName="[Data].[Sueldo]" caption="Sueldo" attribute="1" defaultMemberUniqueName="[Data].[Sueldo].[All]" allUniqueName="[Data].[Sueldo].[All]" dimensionUniqueName="[Data]" displayFolder="" count="2" memberValueDatatype="130" unbalanced="0"/>
    <cacheHierarchy uniqueName="[Data].[Min]" caption="Min" attribute="1" defaultMemberUniqueName="[Data].[Min].[All]" allUniqueName="[Data].[Min].[All]" dimensionUniqueName="[Data]" displayFolder="" count="2" memberValueDatatype="20" unbalanced="0"/>
    <cacheHierarchy uniqueName="[Data].[Part]" caption="Part" attribute="1" defaultMemberUniqueName="[Data].[Part].[All]" allUniqueName="[Data].[Part].[All]" dimensionUniqueName="[Data]" displayFolder="" count="0" memberValueDatatype="130" unbalanced="0"/>
    <cacheHierarchy uniqueName="[Data].[Dist/90]" caption="Dist/90" attribute="1" defaultMemberUniqueName="[Data].[Dist/90].[All]" allUniqueName="[Data].[Dist/90].[All]" dimensionUniqueName="[Data]" displayFolder="" count="0" memberValueDatatype="130" unbalanced="0"/>
    <cacheHierarchy uniqueName="[Data].[Media]" caption="Media" attribute="1" defaultMemberUniqueName="[Data].[Media].[All]" allUniqueName="[Data].[Media].[All]" dimensionUniqueName="[Data]" displayFolder="" count="2" memberValueDatatype="5" unbalanced="0"/>
    <cacheHierarchy uniqueName="[Data].[Ps I/90]" caption="Ps I/90" attribute="1" defaultMemberUniqueName="[Data].[Ps I/90].[All]" allUniqueName="[Data].[Ps I/90].[All]" dimensionUniqueName="[Data]" displayFolder="" count="0" memberValueDatatype="5" unbalanced="0"/>
    <cacheHierarchy uniqueName="[Data].[Ps C/90]" caption="Ps C/90" attribute="1" defaultMemberUniqueName="[Data].[Ps C/90].[All]" allUniqueName="[Data].[Ps C/90].[All]" dimensionUniqueName="[Data]" displayFolder="" count="0" memberValueDatatype="5" unbalanced="0"/>
    <cacheHierarchy uniqueName="[Data].[Pases prog/90]" caption="Pases prog/90" attribute="1" defaultMemberUniqueName="[Data].[Pases prog/90].[All]" allUniqueName="[Data].[Pases prog/90].[All]" dimensionUniqueName="[Data]" displayFolder="" count="0" memberValueDatatype="5" unbalanced="0"/>
    <cacheHierarchy uniqueName="[Data].[Pas Clv/90]" caption="Pas Clv/90" attribute="1" defaultMemberUniqueName="[Data].[Pas Clv/90].[All]" allUniqueName="[Data].[Pas Clv/90].[All]" dimensionUniqueName="[Data]" displayFolder="" count="0" memberValueDatatype="130" unbalanced="0"/>
    <cacheHierarchy uniqueName="[Data].[P Clv- J Ab]" caption="P Clv- J Ab" attribute="1" defaultMemberUniqueName="[Data].[P Clv- J Ab].[All]" allUniqueName="[Data].[P Clv- J Ab].[All]" dimensionUniqueName="[Data]" displayFolder="" count="0" memberValueDatatype="20" unbalanced="0"/>
    <cacheHierarchy uniqueName="[Data].[P Clv-J Ab/90]" caption="P Clv-J Ab/90" attribute="1" defaultMemberUniqueName="[Data].[P Clv-J Ab/90].[All]" allUniqueName="[Data].[P Clv-J Ab/90].[All]" dimensionUniqueName="[Data]" displayFolder="" count="0" memberValueDatatype="5" unbalanced="0"/>
    <cacheHierarchy uniqueName="[Data].[% Pase]" caption="% Pase" attribute="1" defaultMemberUniqueName="[Data].[% Pase].[All]" allUniqueName="[Data].[% Pase].[All]" dimensionUniqueName="[Data]" displayFolder="" count="0" memberValueDatatype="5" unbalanced="0"/>
    <cacheHierarchy uniqueName="[Data].[TirP/90]" caption="TirP/90" attribute="1" defaultMemberUniqueName="[Data].[TirP/90].[All]" allUniqueName="[Data].[TirP/90].[All]" dimensionUniqueName="[Data]" displayFolder="" count="0" memberValueDatatype="130" unbalanced="0"/>
    <cacheHierarchy uniqueName="[Data].[Gol]" caption="Gol" attribute="1" defaultMemberUniqueName="[Data].[Gol].[All]" allUniqueName="[Data].[Gol].[All]" dimensionUniqueName="[Data]" displayFolder="" count="0" memberValueDatatype="20" unbalanced="0"/>
    <cacheHierarchy uniqueName="[Data].[Reg]" caption="Reg" attribute="1" defaultMemberUniqueName="[Data].[Reg].[All]" allUniqueName="[Data].[Reg].[All]" dimensionUniqueName="[Data]" displayFolder="" count="0" memberValueDatatype="20" unbalanced="0"/>
    <cacheHierarchy uniqueName="[Data].[Reg/90]" caption="Reg/90" attribute="1" defaultMemberUniqueName="[Data].[Reg/90].[All]" allUniqueName="[Data].[Reg/90].[All]" dimensionUniqueName="[Data]" displayFolder="" count="0" memberValueDatatype="130" unbalanced="0"/>
    <cacheHierarchy uniqueName="[Data].[FR]" caption="FR" attribute="1" defaultMemberUniqueName="[Data].[FR].[All]" allUniqueName="[Data].[FR].[All]" dimensionUniqueName="[Data]" displayFolder="" count="0" memberValueDatatype="20" unbalanced="0"/>
    <cacheHierarchy uniqueName="[Data].[Cab Int]" caption="Cab Int" attribute="1" defaultMemberUniqueName="[Data].[Cab Int].[All]" allUniqueName="[Data].[Cab Int].[All]" dimensionUniqueName="[Data]" displayFolder="" count="0" memberValueDatatype="20" unbalanced="0"/>
    <cacheHierarchy uniqueName="[Data].[Bal aér/90]" caption="Bal aér/90" attribute="1" defaultMemberUniqueName="[Data].[Bal aér/90].[All]" allUniqueName="[Data].[Bal aér/90].[All]" dimensionUniqueName="[Data]" displayFolder="" count="0" memberValueDatatype="5" unbalanced="0"/>
    <cacheHierarchy uniqueName="[Data].[Cab]" caption="Cab" attribute="1" defaultMemberUniqueName="[Data].[Cab].[All]" allUniqueName="[Data].[Cab].[All]" dimensionUniqueName="[Data]" displayFolder="" count="0" memberValueDatatype="20" unbalanced="0"/>
    <cacheHierarchy uniqueName="[Data].[Cab G/90]" caption="Cab G/90" attribute="1" defaultMemberUniqueName="[Data].[Cab G/90].[All]" allUniqueName="[Data].[Cab G/90].[All]" dimensionUniqueName="[Data]" displayFolder="" count="0" memberValueDatatype="5" unbalanced="0"/>
    <cacheHierarchy uniqueName="[Data].[Cab Clv/90]" caption="Cab Clv/90" attribute="1" defaultMemberUniqueName="[Data].[Cab Clv/90].[All]" allUniqueName="[Data].[Cab Clv/90].[All]" dimensionUniqueName="[Data]" displayFolder="" count="0" memberValueDatatype="5" unbalanced="0"/>
    <cacheHierarchy uniqueName="[Data].[Rcg %]" caption="Rcg %" attribute="1" defaultMemberUniqueName="[Data].[Rcg %].[All]" allUniqueName="[Data].[Rcg %].[All]" dimensionUniqueName="[Data]" displayFolder="" count="0" memberValueDatatype="5" unbalanced="0"/>
    <cacheHierarchy uniqueName="[Data].[Ent I]" caption="Ent I" attribute="1" defaultMemberUniqueName="[Data].[Ent I].[All]" allUniqueName="[Data].[Ent I].[All]" dimensionUniqueName="[Data]" displayFolder="" count="0" memberValueDatatype="20" unbalanced="0"/>
    <cacheHierarchy uniqueName="[Data].[Entr/90]" caption="Entr/90" attribute="1" defaultMemberUniqueName="[Data].[Entr/90].[All]" allUniqueName="[Data].[Entr/90].[All]" dimensionUniqueName="[Data]" displayFolder="" count="0" memberValueDatatype="5" unbalanced="0"/>
    <cacheHierarchy uniqueName="[Data].[Ent G]" caption="Ent G" attribute="1" defaultMemberUniqueName="[Data].[Ent G].[All]" allUniqueName="[Data].[Ent G].[All]" dimensionUniqueName="[Data]" displayFolder="" count="0" memberValueDatatype="20" unbalanced="0"/>
    <cacheHierarchy uniqueName="[Data].[Ent Cl]" caption="Ent Cl" attribute="1" defaultMemberUniqueName="[Data].[Ent Cl].[All]" allUniqueName="[Data].[Ent Cl].[All]" dimensionUniqueName="[Data]" displayFolder="" count="0" memberValueDatatype="20" unbalanced="0"/>
    <cacheHierarchy uniqueName="[Data].[Ent Clv/90]" caption="Ent Clv/90" attribute="1" defaultMemberUniqueName="[Data].[Ent Clv/90].[All]" allUniqueName="[Data].[Ent Clv/90].[All]" dimensionUniqueName="[Data]" displayFolder="" count="0" memberValueDatatype="5" unbalanced="0"/>
    <cacheHierarchy uniqueName="[Data].[Ent P]" caption="Ent P" attribute="1" defaultMemberUniqueName="[Data].[Ent P].[All]" allUniqueName="[Data].[Ent P].[All]" dimensionUniqueName="[Data]" displayFolder="" count="0" memberValueDatatype="5" unbalanced="0"/>
    <cacheHierarchy uniqueName="[Data].[Rob]" caption="Rob" attribute="1" defaultMemberUniqueName="[Data].[Rob].[All]" allUniqueName="[Data].[Rob].[All]" dimensionUniqueName="[Data]" displayFolder="" count="0" memberValueDatatype="20" unbalanced="0"/>
    <cacheHierarchy uniqueName="[Data].[Rob/90]" caption="Rob/90" attribute="1" defaultMemberUniqueName="[Data].[Rob/90].[All]" allUniqueName="[Data].[Rob/90].[All]" dimensionUniqueName="[Data]" displayFolder="" count="0" memberValueDatatype="5" unbalanced="0"/>
    <cacheHierarchy uniqueName="[Data].[Pres Int]" caption="Pres Int" attribute="1" defaultMemberUniqueName="[Data].[Pres Int].[All]" allUniqueName="[Data].[Pres Int].[All]" dimensionUniqueName="[Data]" displayFolder="" count="0" memberValueDatatype="20" unbalanced="0"/>
    <cacheHierarchy uniqueName="[Data].[Pres I/90]" caption="Pres I/90" attribute="1" defaultMemberUniqueName="[Data].[Pres I/90].[All]" allUniqueName="[Data].[Pres I/90].[All]" dimensionUniqueName="[Data]" displayFolder="" count="0" memberValueDatatype="5" unbalanced="0"/>
    <cacheHierarchy uniqueName="[Data].[Pres C]" caption="Pres C" attribute="1" defaultMemberUniqueName="[Data].[Pres C].[All]" allUniqueName="[Data].[Pres C].[All]" dimensionUniqueName="[Data]" displayFolder="" count="0" memberValueDatatype="20" unbalanced="0"/>
    <cacheHierarchy uniqueName="[Data].[Pres C/90]" caption="Pres C/90" attribute="1" defaultMemberUniqueName="[Data].[Pres C/90].[All]" allUniqueName="[Data].[Pres C/90].[All]" dimensionUniqueName="[Data]" displayFolder="" count="0" memberValueDatatype="5" unbalanced="0"/>
    <cacheHierarchy uniqueName="[Data].[Pos Perd/90]" caption="Pos Perd/90" attribute="1" defaultMemberUniqueName="[Data].[Pos Perd/90].[All]" allUniqueName="[Data].[Pos Perd/90].[All]" dimensionUniqueName="[Data]" displayFolder="" count="0" memberValueDatatype="5" unbalanced="0"/>
    <cacheHierarchy uniqueName="[Data].[Pos Gan/90]" caption="Pos Gan/90" attribute="1" defaultMemberUniqueName="[Data].[Pos Gan/90].[All]" allUniqueName="[Data].[Pos Gan/90].[All]" dimensionUniqueName="[Data]" displayFolder="" count="0" memberValueDatatype="5" unbalanced="0"/>
    <cacheHierarchy uniqueName="[Data].[Pos Gan/Per /90]" caption="Pos Gan/Per /90" attribute="1" defaultMemberUniqueName="[Data].[Pos Gan/Per /90].[All]" allUniqueName="[Data].[Pos Gan/Per /90].[All]" dimensionUniqueName="[Data]" displayFolder="" count="0" memberValueDatatype="5" unbalanced="0"/>
    <cacheHierarchy uniqueName="[Data].[Desp]" caption="Desp" attribute="1" defaultMemberUniqueName="[Data].[Desp].[All]" allUniqueName="[Data].[Desp].[All]" dimensionUniqueName="[Data]" displayFolder="" count="0" memberValueDatatype="20" unbalanced="0"/>
    <cacheHierarchy uniqueName="[Data].[Desp/90]" caption="Desp/90" attribute="1" defaultMemberUniqueName="[Data].[Desp/90].[All]" allUniqueName="[Data].[Desp/90].[All]" dimensionUniqueName="[Data]" displayFolder="" count="0" memberValueDatatype="5" unbalanced="0"/>
    <cacheHierarchy uniqueName="[Data].[FC]" caption="FC" attribute="1" defaultMemberUniqueName="[Data].[FC].[All]" allUniqueName="[Data].[FC].[All]" dimensionUniqueName="[Data]" displayFolder="" count="0" memberValueDatatype="20" unbalanced="0"/>
    <cacheHierarchy uniqueName="[Data].[Ama]" caption="Ama" attribute="1" defaultMemberUniqueName="[Data].[Ama].[All]" allUniqueName="[Data].[Ama].[All]" dimensionUniqueName="[Data]" displayFolder="" count="0" memberValueDatatype="20" unbalanced="0"/>
    <cacheHierarchy uniqueName="[Data].[Roj.]" caption="Roj." attribute="1" defaultMemberUniqueName="[Data].[Roj.].[All]" allUniqueName="[Data].[Roj.].[All]" dimensionUniqueName="[Data]" displayFolder="" count="0" memberValueDatatype="20" unbalanced="0"/>
    <cacheHierarchy uniqueName="[Data].[Gl Err]" caption="Gl Err" attribute="1" defaultMemberUniqueName="[Data].[Gl Err].[All]" allUniqueName="[Data].[Gl Err].[All]" dimensionUniqueName="[Data]" displayFolder="" count="0" memberValueDatatype="20" unbalanced="0"/>
    <cacheHierarchy uniqueName="[Data].[Rec]" caption="Rec" attribute="1" defaultMemberUniqueName="[Data].[Rec].[All]" allUniqueName="[Data].[Rec].[All]" dimensionUniqueName="[Data]" displayFolder="" count="0" memberValueDatatype="20" unbalanced="0"/>
    <cacheHierarchy uniqueName="[Data].[Rech/90]" caption="Rech/90" attribute="1" defaultMemberUniqueName="[Data].[Rech/90].[All]" allUniqueName="[Data].[Rech/90].[All]" dimensionUniqueName="[Data]" displayFolder="" count="0" memberValueDatatype="130" unbalanced="0"/>
    <cacheHierarchy uniqueName="[Data].[EnEq/90]" caption="EnEq/90" attribute="1" defaultMemberUniqueName="[Data].[EnEq/90].[All]" allUniqueName="[Data].[EnEq/90].[All]" dimensionUniqueName="[Data]" displayFolder="" count="0" memberValueDatatype="5" unbalanced="0"/>
    <cacheHierarchy uniqueName="[Measures].[__XL_Count Data]" caption="__XL_Count Data" measure="1" displayFolder="" measureGroup="Data" count="0" hidden="1"/>
    <cacheHierarchy uniqueName="[Measures].[__No measures defined]" caption="__No measures defined" measure="1" displayFolder="" count="0" hidden="1"/>
    <cacheHierarchy uniqueName="[Measures].[Recuento de Altura]" caption="Recuento de Altura" measure="1" displayFolder="" measureGroup="Data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e Nombre]" caption="Recuento de Nombre" measure="1" displayFolder="" measureGroup="Data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Recuento de Sueldo]" caption="Recuento de Sueldo" measure="1" displayFolder="" measureGroup="Dat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Sueldo]" caption="Recuento distinto de Sueldo" measure="1" displayFolder="" measureGroup="Dat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a de Ent Clv/90]" caption="Suma de Ent Clv/90" measure="1" displayFolder="" measureGroup="Data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Entr/90]" caption="Suma de Entr/90" measure="1" displayFolder="" measureGroup="Data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a de Ps C/90]" caption="Suma de Ps C/90" measure="1" displayFolder="" measureGroup="Data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a de % Pase]" caption="Suma de % Pase" measure="1" displayFolder="" measureGroup="Data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a de Min]" caption="Suma de Min" measure="1" displayFolder="" measureGroup="Data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a de Media]" caption="Suma de Media" measure="1" displayFolder="" measureGroup="Data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Bal aér/90]" caption="Suma de Bal aér/90" measure="1" displayFolder="" measureGroup="Data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a de Cab G/90]" caption="Suma de Cab G/90" measure="1" displayFolder="" measureGroup="Data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Cab Clv/90]" caption="Suma de Cab Clv/90" measure="1" displayFolder="" measureGroup="Data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a de Cab Int]" caption="Suma de Cab Int" measure="1" displayFolder="" measureGroup="Data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a de Cab]" caption="Suma de Cab" measure="1" displayFolder="" measureGroup="Data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Rcg %]" caption="Suma de Rcg %" measure="1" displayFolder="" measureGroup="Data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Ent P]" caption="Suma de Ent P" measure="1" displayFolder="" measureGroup="Data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EnEq/90]" caption="Suma de EnEq/90" measure="1" displayFolder="" measureGroup="Data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a de Ent G]" caption="Suma de Ent G" measure="1" displayFolder="" measureGroup="Data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a de Rob/90]" caption="Suma de Rob/90" measure="1" displayFolder="" measureGroup="Data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a de Pres C/90]" caption="Suma de Pres C/90" measure="1" displayFolder="" measureGroup="Data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Desp/90]" caption="Suma de Desp/90" measure="1" displayFolder="" measureGroup="Data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Recuento de Rech/90]" caption="Recuento de Rech/90" measure="1" displayFolder="" measureGroup="Data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a de Ama]" caption="Suma de Ama" measure="1" displayFolder="" measureGroup="Data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a de Pos Gan/90]" caption="Suma de Pos Gan/90" measure="1" displayFolder="" measureGroup="Data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Pos Perd/90]" caption="Suma de Pos Perd/90" measure="1" displayFolder="" measureGroup="Data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a de Pos Gan/Per /90]" caption="Suma de Pos Gan/Per /90" measure="1" displayFolder="" measureGroup="Data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564923435"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x v="0"/>
    <n v="191"/>
    <s v="85 kg"/>
    <d v="2025-06-30T00:00:00"/>
    <s v="157,000 € p/a"/>
    <x v="0"/>
    <s v="24 (4)"/>
    <s v="11.2 km"/>
    <n v="7.07"/>
    <n v="91.67"/>
    <n v="84.09"/>
    <n v="4.33"/>
    <n v="0.17"/>
    <n v="4"/>
    <n v="0.17"/>
    <n v="0.92"/>
    <n v="0.3"/>
    <n v="1"/>
    <n v="9"/>
    <n v="0.39"/>
    <n v="4"/>
    <n v="236"/>
    <n v="10.11"/>
    <n v="197"/>
    <n v="8.44"/>
    <n v="0.56000000000000005"/>
    <n v="0.83"/>
    <n v="33"/>
    <n v="1.1599999999999999"/>
    <n v="27"/>
    <n v="7"/>
    <n v="0.3"/>
    <n v="0.82"/>
    <n v="96"/>
    <n v="4.1100000000000003"/>
    <n v="107"/>
    <n v="4.58"/>
    <n v="52"/>
    <n v="2.23"/>
    <n v="9.5500000000000007"/>
    <n v="21.33"/>
    <n v="2.233507853403141"/>
    <n v="27"/>
    <n v="1.1599999999999999"/>
    <n v="16"/>
    <n v="4"/>
    <n v="0"/>
    <n v="1"/>
    <n v="11"/>
    <n v="0.47"/>
    <n v="1.03"/>
  </r>
  <r>
    <x v="1"/>
    <n v="192"/>
    <s v="82 kg"/>
    <d v="2025-06-30T00:00:00"/>
    <s v="875,000 € p/a"/>
    <x v="1"/>
    <n v="30"/>
    <s v="11.0 km"/>
    <n v="6.99"/>
    <n v="67.59"/>
    <n v="59.65"/>
    <n v="4.53"/>
    <n v="0.2"/>
    <n v="6"/>
    <n v="0.2"/>
    <n v="0.88"/>
    <n v="0.24"/>
    <n v="4"/>
    <n v="2"/>
    <n v="7.0000000000000007E-2"/>
    <n v="6"/>
    <n v="281"/>
    <n v="9.5"/>
    <n v="220"/>
    <n v="7.44"/>
    <n v="0.56999999999999995"/>
    <n v="0.78"/>
    <n v="45"/>
    <n v="1.18"/>
    <n v="35"/>
    <n v="8"/>
    <n v="0.27"/>
    <n v="0.78"/>
    <n v="84"/>
    <n v="2.84"/>
    <n v="131"/>
    <n v="4.43"/>
    <n v="52"/>
    <n v="1.76"/>
    <n v="3.41"/>
    <n v="18.96"/>
    <n v="5.5601173020527863"/>
    <n v="27"/>
    <n v="0.91"/>
    <n v="24"/>
    <n v="6"/>
    <n v="0"/>
    <n v="1"/>
    <n v="21"/>
    <n v="0.71"/>
    <n v="1.18"/>
  </r>
  <r>
    <x v="2"/>
    <n v="191"/>
    <s v="83 kg"/>
    <d v="2024-06-30T00:00:00"/>
    <s v="20,000 € p/a"/>
    <x v="2"/>
    <n v="23"/>
    <s v="12.5 km"/>
    <n v="6.98"/>
    <n v="52.25"/>
    <n v="42.01"/>
    <n v="4.08"/>
    <n v="0.94"/>
    <n v="21"/>
    <n v="0.94"/>
    <n v="0.8"/>
    <n v="0.04"/>
    <n v="1"/>
    <n v="12"/>
    <n v="0.54"/>
    <n v="22"/>
    <n v="217"/>
    <n v="9.74"/>
    <n v="165"/>
    <n v="7.41"/>
    <n v="0.4"/>
    <n v="0.76"/>
    <n v="33"/>
    <n v="1.35"/>
    <n v="30"/>
    <n v="0"/>
    <n v="0"/>
    <n v="0.91"/>
    <n v="38"/>
    <n v="1.71"/>
    <n v="234"/>
    <n v="10.5"/>
    <n v="62"/>
    <n v="2.78"/>
    <n v="4.8899999999999997"/>
    <n v="18.13"/>
    <n v="3.7075664621676894"/>
    <n v="29"/>
    <n v="1.3"/>
    <n v="36"/>
    <n v="2"/>
    <n v="0"/>
    <n v="0"/>
    <n v="12"/>
    <n v="0.54"/>
    <n v="0.63"/>
  </r>
  <r>
    <x v="3"/>
    <n v="196"/>
    <s v="104 kg"/>
    <d v="2025-06-30T00:00:00"/>
    <s v="86,000 € p/a"/>
    <x v="3"/>
    <n v="37"/>
    <s v="10.8 km"/>
    <n v="7.04"/>
    <n v="64.94"/>
    <n v="51.04"/>
    <n v="4.1399999999999997"/>
    <n v="0.47"/>
    <n v="17"/>
    <n v="0.47"/>
    <n v="0.79"/>
    <n v="0.14000000000000001"/>
    <n v="3"/>
    <n v="4"/>
    <n v="0.11"/>
    <n v="17"/>
    <n v="407"/>
    <n v="11.3"/>
    <n v="337"/>
    <n v="9.35"/>
    <n v="0.67"/>
    <n v="0.83"/>
    <n v="37"/>
    <n v="0.86"/>
    <n v="31"/>
    <n v="9"/>
    <n v="0.25"/>
    <n v="0.84"/>
    <n v="135"/>
    <n v="3.75"/>
    <n v="144"/>
    <n v="4"/>
    <n v="57"/>
    <n v="1.58"/>
    <n v="2.5499999999999998"/>
    <n v="21.81"/>
    <n v="8.552941176470588"/>
    <n v="65"/>
    <n v="1.8"/>
    <n v="32"/>
    <n v="11"/>
    <n v="0"/>
    <n v="0"/>
    <n v="30"/>
    <n v="0.83"/>
    <n v="1.1100000000000001"/>
  </r>
  <r>
    <x v="4"/>
    <n v="196"/>
    <s v="85 kg"/>
    <d v="2027-06-30T00:00:00"/>
    <s v="1,017,000 € p/a"/>
    <x v="4"/>
    <s v="27 (2)"/>
    <s v="11.0 km"/>
    <n v="7.1"/>
    <n v="76.599999999999994"/>
    <n v="67.14"/>
    <n v="5.61"/>
    <n v="0.38"/>
    <n v="10"/>
    <n v="0.38"/>
    <n v="0.88"/>
    <n v="0.19"/>
    <n v="1"/>
    <n v="9"/>
    <n v="0.34"/>
    <n v="10"/>
    <n v="242"/>
    <n v="9.24"/>
    <n v="187"/>
    <n v="7.14"/>
    <n v="0.92"/>
    <n v="0.77"/>
    <n v="46"/>
    <n v="1.56"/>
    <n v="41"/>
    <n v="10"/>
    <n v="0.38"/>
    <n v="0.89"/>
    <n v="76"/>
    <n v="2.9"/>
    <n v="98"/>
    <n v="3.74"/>
    <n v="46"/>
    <n v="1.76"/>
    <n v="3.24"/>
    <n v="18.28"/>
    <n v="5.6419753086419755"/>
    <n v="33"/>
    <n v="1.26"/>
    <n v="31"/>
    <n v="8"/>
    <n v="2"/>
    <n v="0"/>
    <n v="12"/>
    <n v="0.46"/>
    <n v="0.61"/>
  </r>
  <r>
    <x v="5"/>
    <n v="190"/>
    <s v="82 kg"/>
    <d v="2027-06-30T00:00:00"/>
    <s v="40,500 € p/a"/>
    <x v="5"/>
    <n v="20"/>
    <s v="10.6 km"/>
    <n v="6.98"/>
    <n v="65.400000000000006"/>
    <n v="54.08"/>
    <n v="3.57"/>
    <n v="0.3"/>
    <n v="5"/>
    <n v="0.3"/>
    <n v="0.83"/>
    <n v="0.12"/>
    <n v="0"/>
    <n v="2"/>
    <n v="0.12"/>
    <n v="5"/>
    <n v="151"/>
    <n v="8.99"/>
    <n v="120"/>
    <n v="7.15"/>
    <n v="0.66"/>
    <n v="0.79"/>
    <n v="22"/>
    <n v="1.01"/>
    <n v="17"/>
    <n v="3"/>
    <n v="0.18"/>
    <n v="0.77"/>
    <n v="67"/>
    <n v="3.99"/>
    <n v="53"/>
    <n v="3.16"/>
    <n v="27"/>
    <n v="1.61"/>
    <n v="2.08"/>
    <n v="22.34"/>
    <n v="10.740384615384615"/>
    <n v="23"/>
    <n v="1.37"/>
    <n v="20"/>
    <n v="2"/>
    <n v="0"/>
    <n v="0"/>
    <n v="7"/>
    <n v="0.42"/>
    <n v="0.66"/>
  </r>
  <r>
    <x v="6"/>
    <n v="194"/>
    <s v="82 kg"/>
    <d v="2028-06-30T00:00:00"/>
    <s v="499,000 € p/a"/>
    <x v="6"/>
    <n v="24"/>
    <s v="9.1 km"/>
    <n v="7.21"/>
    <n v="52.75"/>
    <n v="41.17"/>
    <n v="4.29"/>
    <n v="0.38"/>
    <n v="9"/>
    <n v="0.38"/>
    <n v="0.78"/>
    <n v="0.25"/>
    <n v="1"/>
    <n v="4"/>
    <n v="0.17"/>
    <n v="14"/>
    <n v="206"/>
    <n v="8.58"/>
    <n v="159"/>
    <n v="6.62"/>
    <n v="0.67"/>
    <n v="0.77"/>
    <n v="41"/>
    <n v="1.38"/>
    <n v="33"/>
    <n v="8"/>
    <n v="0.33"/>
    <n v="0.8"/>
    <n v="57"/>
    <n v="2.38"/>
    <n v="80"/>
    <n v="3.33"/>
    <n v="40"/>
    <n v="1.67"/>
    <n v="2.38"/>
    <n v="18.5"/>
    <n v="7.7731092436974789"/>
    <n v="37"/>
    <n v="1.54"/>
    <n v="19"/>
    <n v="3"/>
    <n v="0"/>
    <n v="0"/>
    <n v="10"/>
    <n v="0.42"/>
    <n v="0.5"/>
  </r>
  <r>
    <x v="7"/>
    <n v="192"/>
    <s v="81 kg"/>
    <d v="2025-06-30T00:00:00"/>
    <s v="57,500 € p/a"/>
    <x v="7"/>
    <n v="31"/>
    <s v="10.7 km"/>
    <n v="6.74"/>
    <n v="66.97"/>
    <n v="52.49"/>
    <n v="4.29"/>
    <n v="0.52"/>
    <n v="15"/>
    <n v="0.52"/>
    <n v="0.78"/>
    <n v="0.17"/>
    <n v="1"/>
    <n v="2"/>
    <n v="7.0000000000000007E-2"/>
    <n v="12"/>
    <n v="427"/>
    <n v="14.9"/>
    <n v="334"/>
    <n v="11.66"/>
    <n v="0.28000000000000003"/>
    <n v="0.78"/>
    <n v="18"/>
    <n v="0.56000000000000005"/>
    <n v="16"/>
    <n v="4"/>
    <n v="0.14000000000000001"/>
    <n v="0.89"/>
    <n v="112"/>
    <n v="3.91"/>
    <n v="101"/>
    <n v="3.52"/>
    <n v="40"/>
    <n v="1.4"/>
    <n v="3.56"/>
    <n v="18.18"/>
    <n v="5.106741573033708"/>
    <n v="53"/>
    <n v="1.85"/>
    <n v="26"/>
    <n v="5"/>
    <n v="1"/>
    <n v="0"/>
    <n v="26"/>
    <n v="0.91"/>
    <n v="1.05"/>
  </r>
  <r>
    <x v="8"/>
    <n v="194"/>
    <s v="92 kg"/>
    <d v="2024-06-30T00:00:00"/>
    <s v="19,000 € p/a"/>
    <x v="8"/>
    <n v="18"/>
    <s v="10.5 km"/>
    <n v="6.94"/>
    <n v="65.44"/>
    <n v="52.1"/>
    <n v="4.09"/>
    <n v="0.26"/>
    <n v="4"/>
    <n v="0.26"/>
    <n v="0.8"/>
    <n v="7.0000000000000007E-2"/>
    <n v="0"/>
    <n v="3"/>
    <n v="0.2"/>
    <n v="4"/>
    <n v="213"/>
    <n v="14.06"/>
    <n v="175"/>
    <n v="11.56"/>
    <n v="1.06"/>
    <n v="0.82"/>
    <n v="15"/>
    <n v="0.79"/>
    <n v="12"/>
    <n v="2"/>
    <n v="0.13"/>
    <n v="0.8"/>
    <n v="52"/>
    <n v="3.43"/>
    <n v="46"/>
    <n v="3.04"/>
    <n v="23"/>
    <n v="1.52"/>
    <n v="2.38"/>
    <n v="19.739999999999998"/>
    <n v="8.2941176470588225"/>
    <n v="28"/>
    <n v="1.85"/>
    <n v="14"/>
    <n v="2"/>
    <n v="0"/>
    <n v="0"/>
    <n v="7"/>
    <n v="0.46"/>
    <n v="0.4"/>
  </r>
  <r>
    <x v="9"/>
    <n v="192"/>
    <s v="88 kg"/>
    <d v="2026-06-30T00:00:00"/>
    <s v="39,500 € p/a"/>
    <x v="9"/>
    <n v="15"/>
    <s v="10.6 km"/>
    <n v="6.71"/>
    <n v="61.16"/>
    <n v="40.159999999999997"/>
    <n v="3.49"/>
    <n v="7.0000000000000007E-2"/>
    <n v="1"/>
    <n v="7.0000000000000007E-2"/>
    <n v="0.66"/>
    <n v="7.0000000000000007E-2"/>
    <n v="0"/>
    <n v="2"/>
    <n v="0.14000000000000001"/>
    <n v="5"/>
    <n v="209"/>
    <n v="14.88"/>
    <n v="157"/>
    <n v="11.18"/>
    <n v="1.21"/>
    <n v="0.75"/>
    <n v="12"/>
    <n v="0.85"/>
    <n v="12"/>
    <n v="2"/>
    <n v="0.14000000000000001"/>
    <n v="1"/>
    <n v="59"/>
    <n v="4.2"/>
    <n v="49"/>
    <n v="3.49"/>
    <n v="22"/>
    <n v="1.57"/>
    <n v="6.91"/>
    <n v="19.649999999999999"/>
    <n v="2.8437047756874092"/>
    <n v="28"/>
    <n v="1.99"/>
    <n v="13"/>
    <n v="3"/>
    <n v="1"/>
    <n v="0"/>
    <n v="9"/>
    <n v="0.64"/>
    <n v="1.1399999999999999"/>
  </r>
  <r>
    <x v="10"/>
    <n v="190"/>
    <s v="75 kg"/>
    <d v="2027-06-30T00:00:00"/>
    <s v="1,585,000 € p/a"/>
    <x v="10"/>
    <s v="24 (4)"/>
    <s v="11.5 km"/>
    <n v="6.67"/>
    <n v="51.83"/>
    <n v="44"/>
    <n v="2.92"/>
    <n v="0.26"/>
    <n v="6"/>
    <n v="0.26"/>
    <n v="0.85"/>
    <n v="0.13"/>
    <n v="1"/>
    <n v="9"/>
    <n v="0.39"/>
    <n v="4"/>
    <n v="201"/>
    <n v="8.75"/>
    <n v="162"/>
    <n v="7.05"/>
    <n v="0.91"/>
    <n v="0.81"/>
    <n v="39"/>
    <n v="1.39"/>
    <n v="32"/>
    <n v="9"/>
    <n v="0.39"/>
    <n v="0.82"/>
    <n v="75"/>
    <n v="3.26"/>
    <n v="131"/>
    <n v="5.7"/>
    <n v="53"/>
    <n v="2.31"/>
    <n v="10.62"/>
    <n v="20.45"/>
    <n v="1.9256120527306968"/>
    <n v="38"/>
    <n v="1.65"/>
    <n v="20"/>
    <n v="3"/>
    <n v="1"/>
    <n v="3"/>
    <n v="15"/>
    <n v="0.65"/>
    <n v="2.09"/>
  </r>
  <r>
    <x v="11"/>
    <n v="190"/>
    <s v="86 kg"/>
    <d v="2026-06-30T00:00:00"/>
    <s v="374,000 € p/a"/>
    <x v="11"/>
    <s v="2 (1)"/>
    <s v="9.2 km"/>
    <n v="7.05"/>
    <n v="65.14"/>
    <n v="61.66"/>
    <n v="4.97"/>
    <s v="-"/>
    <n v="0"/>
    <n v="0"/>
    <n v="0.95"/>
    <s v="-"/>
    <n v="0"/>
    <n v="1"/>
    <n v="0.5"/>
    <n v="1"/>
    <n v="21"/>
    <n v="10.44"/>
    <n v="16"/>
    <n v="7.96"/>
    <n v="0.99"/>
    <n v="0.76"/>
    <n v="3"/>
    <n v="1.49"/>
    <n v="3"/>
    <n v="0"/>
    <n v="0"/>
    <n v="1"/>
    <n v="4"/>
    <n v="1.99"/>
    <n v="7"/>
    <n v="3.48"/>
    <n v="5"/>
    <n v="2.4900000000000002"/>
    <n v="2.98"/>
    <n v="18.899999999999999"/>
    <n v="6.3422818791946307"/>
    <n v="2"/>
    <n v="0.99"/>
    <n v="2"/>
    <n v="0"/>
    <n v="0"/>
    <n v="0"/>
    <n v="0"/>
    <s v="-"/>
    <n v="0.5"/>
  </r>
  <r>
    <x v="12"/>
    <n v="192"/>
    <s v="83 kg"/>
    <d v="2026-06-30T00:00:00"/>
    <s v="1,642,000 € p/a"/>
    <x v="12"/>
    <s v="26 (8)"/>
    <s v="11.4 km"/>
    <n v="7.06"/>
    <n v="64.55"/>
    <n v="58.98"/>
    <n v="3.83"/>
    <n v="0.23"/>
    <n v="6"/>
    <n v="0.23"/>
    <n v="0.91"/>
    <n v="0.19"/>
    <n v="2"/>
    <n v="5"/>
    <n v="0.19"/>
    <n v="4"/>
    <n v="295"/>
    <n v="11.17"/>
    <n v="238"/>
    <n v="9.02"/>
    <n v="0.76"/>
    <n v="0.81"/>
    <n v="37"/>
    <n v="1.1399999999999999"/>
    <n v="30"/>
    <n v="11"/>
    <n v="0.42"/>
    <n v="0.81"/>
    <n v="93"/>
    <n v="3.52"/>
    <n v="106"/>
    <n v="4.0199999999999996"/>
    <n v="44"/>
    <n v="1.67"/>
    <n v="6.93"/>
    <n v="20.72"/>
    <n v="2.9898989898989901"/>
    <n v="23"/>
    <n v="0.87"/>
    <n v="17"/>
    <n v="5"/>
    <n v="0"/>
    <n v="1"/>
    <n v="13"/>
    <n v="0.49"/>
    <n v="0.91"/>
  </r>
  <r>
    <x v="13"/>
    <n v="193"/>
    <s v="83 kg"/>
    <d v="2024-06-30T00:00:00"/>
    <s v="89,500 € p/a"/>
    <x v="13"/>
    <n v="5"/>
    <s v="10.7 km"/>
    <n v="6.96"/>
    <n v="60.51"/>
    <n v="38.950000000000003"/>
    <n v="4.84"/>
    <n v="0.66"/>
    <n v="3"/>
    <n v="0.66"/>
    <n v="0.64"/>
    <n v="0"/>
    <n v="0"/>
    <n v="0"/>
    <s v="-"/>
    <n v="1"/>
    <n v="65"/>
    <n v="14.3"/>
    <n v="57"/>
    <n v="12.54"/>
    <n v="0.22"/>
    <n v="0.88"/>
    <n v="2"/>
    <n v="0.44"/>
    <n v="2"/>
    <n v="0"/>
    <n v="0"/>
    <n v="1"/>
    <n v="23"/>
    <n v="5.0599999999999996"/>
    <n v="15"/>
    <n v="3.3"/>
    <n v="7"/>
    <n v="1.54"/>
    <n v="22.44"/>
    <n v="33.67"/>
    <n v="1.500445632798574"/>
    <n v="7"/>
    <n v="1.54"/>
    <n v="6"/>
    <n v="1"/>
    <n v="0"/>
    <n v="0"/>
    <n v="3"/>
    <n v="0.66"/>
    <n v="1.32"/>
  </r>
  <r>
    <x v="14"/>
    <n v="190"/>
    <s v="95 kg"/>
    <d v="2024-06-30T00:00:00"/>
    <s v="2,194,000 € p/a"/>
    <x v="14"/>
    <s v="2 (1)"/>
    <s v="10.2 km"/>
    <n v="6.33"/>
    <n v="62.44"/>
    <n v="59.62"/>
    <n v="4.5"/>
    <s v="-"/>
    <n v="0"/>
    <n v="0"/>
    <n v="0.95"/>
    <s v="-"/>
    <n v="0"/>
    <n v="1"/>
    <n v="0.56000000000000005"/>
    <n v="1"/>
    <n v="16"/>
    <n v="9"/>
    <n v="12"/>
    <n v="6.75"/>
    <n v="0"/>
    <n v="0.75"/>
    <n v="1"/>
    <n v="0.56000000000000005"/>
    <n v="1"/>
    <n v="0"/>
    <n v="0"/>
    <n v="1"/>
    <n v="9"/>
    <n v="5.0599999999999996"/>
    <n v="8"/>
    <n v="4.5"/>
    <n v="4"/>
    <n v="2.25"/>
    <n v="3.38"/>
    <n v="18"/>
    <n v="5.3254437869822491"/>
    <n v="3"/>
    <n v="1.69"/>
    <n v="4"/>
    <n v="0"/>
    <n v="1"/>
    <n v="0"/>
    <n v="1"/>
    <n v="0.56000000000000005"/>
    <n v="0.56000000000000005"/>
  </r>
  <r>
    <x v="15"/>
    <n v="191"/>
    <s v="86 kg"/>
    <d v="2026-06-30T00:00:00"/>
    <s v="2,340,000 € p/a"/>
    <x v="15"/>
    <n v="31"/>
    <s v="10.5 km"/>
    <n v="7.01"/>
    <n v="75.599999999999994"/>
    <n v="68.33"/>
    <n v="4.16"/>
    <n v="0.26"/>
    <n v="8"/>
    <n v="0.26"/>
    <n v="0.9"/>
    <n v="0"/>
    <n v="0"/>
    <n v="5"/>
    <n v="0.16"/>
    <n v="9"/>
    <n v="272"/>
    <n v="8.9"/>
    <n v="212"/>
    <n v="6.94"/>
    <n v="0.82"/>
    <n v="0.78"/>
    <n v="34"/>
    <n v="0.92"/>
    <n v="28"/>
    <n v="6"/>
    <n v="0.2"/>
    <n v="0.82"/>
    <n v="90"/>
    <n v="2.95"/>
    <n v="101"/>
    <n v="3.31"/>
    <n v="40"/>
    <n v="1.31"/>
    <n v="3.14"/>
    <n v="19.34"/>
    <n v="6.1592356687898082"/>
    <n v="25"/>
    <n v="0.82"/>
    <n v="22"/>
    <n v="0"/>
    <n v="0"/>
    <n v="1"/>
    <n v="17"/>
    <n v="0.56000000000000005"/>
    <n v="1.44"/>
  </r>
  <r>
    <x v="16"/>
    <n v="193"/>
    <s v="87 kg"/>
    <d v="2028-06-30T00:00:00"/>
    <s v="971,000 € p/a"/>
    <x v="16"/>
    <n v="22"/>
    <s v="10.3 km"/>
    <n v="6.94"/>
    <n v="68.88"/>
    <n v="60.38"/>
    <n v="4.51"/>
    <n v="0.36"/>
    <n v="7"/>
    <n v="0.36"/>
    <n v="0.88"/>
    <n v="0.1"/>
    <n v="0"/>
    <n v="9"/>
    <n v="0.46"/>
    <n v="4"/>
    <n v="185"/>
    <n v="9.48"/>
    <n v="144"/>
    <n v="7.38"/>
    <n v="0.92"/>
    <n v="0.78"/>
    <n v="24"/>
    <n v="1.18"/>
    <n v="23"/>
    <n v="2"/>
    <n v="0.1"/>
    <n v="0.96"/>
    <n v="41"/>
    <n v="2.1"/>
    <n v="67"/>
    <n v="3.43"/>
    <n v="29"/>
    <n v="1.49"/>
    <n v="3.23"/>
    <n v="19.48"/>
    <n v="6.0309597523219818"/>
    <n v="21"/>
    <n v="1.08"/>
    <n v="14"/>
    <n v="3"/>
    <n v="0"/>
    <n v="0"/>
    <n v="12"/>
    <n v="0.62"/>
    <n v="1.18"/>
  </r>
  <r>
    <x v="17"/>
    <n v="190"/>
    <s v="83 kg"/>
    <d v="2027-12-31T00:00:00"/>
    <s v="454,000 € p/a"/>
    <x v="17"/>
    <n v="4"/>
    <s v="10.5 km"/>
    <n v="7.15"/>
    <n v="62.54"/>
    <n v="51.12"/>
    <n v="3.81"/>
    <n v="0.27"/>
    <n v="1"/>
    <n v="0.27"/>
    <n v="0.82"/>
    <n v="0"/>
    <n v="0"/>
    <n v="0"/>
    <s v="-"/>
    <n v="0"/>
    <n v="38"/>
    <n v="10.33"/>
    <n v="33"/>
    <n v="8.9700000000000006"/>
    <n v="0.27"/>
    <n v="0.87"/>
    <n v="4"/>
    <n v="1.0900000000000001"/>
    <n v="4"/>
    <n v="1"/>
    <n v="0.27"/>
    <n v="1"/>
    <n v="13"/>
    <n v="3.53"/>
    <n v="11"/>
    <n v="2.99"/>
    <n v="6"/>
    <n v="1.63"/>
    <n v="3.26"/>
    <n v="23.93"/>
    <n v="7.3404907975460123"/>
    <n v="5"/>
    <n v="1.36"/>
    <n v="1"/>
    <n v="1"/>
    <n v="0"/>
    <n v="0"/>
    <n v="4"/>
    <n v="1.0900000000000001"/>
    <n v="0.82"/>
  </r>
  <r>
    <x v="18"/>
    <n v="190"/>
    <s v="80 kg"/>
    <d v="2025-06-30T00:00:00"/>
    <s v="68,000 € p/a"/>
    <x v="18"/>
    <n v="15"/>
    <s v="10.8 km"/>
    <n v="6.76"/>
    <n v="64.44"/>
    <n v="42.72"/>
    <n v="5.18"/>
    <n v="0.28000000000000003"/>
    <n v="4"/>
    <n v="0.28000000000000003"/>
    <n v="0.66"/>
    <n v="7.0000000000000007E-2"/>
    <n v="0"/>
    <n v="4"/>
    <n v="0.28000000000000003"/>
    <n v="6"/>
    <n v="203"/>
    <n v="14.22"/>
    <n v="167"/>
    <n v="11.7"/>
    <n v="0.77"/>
    <n v="0.82"/>
    <n v="13"/>
    <n v="0.77"/>
    <n v="11"/>
    <n v="3"/>
    <n v="0.21"/>
    <n v="0.85"/>
    <n v="46"/>
    <n v="3.22"/>
    <n v="46"/>
    <n v="3.22"/>
    <n v="30"/>
    <n v="2.1"/>
    <n v="2.31"/>
    <n v="18.7"/>
    <n v="8.0952380952380949"/>
    <n v="22"/>
    <n v="1.54"/>
    <n v="14"/>
    <n v="3"/>
    <n v="0"/>
    <n v="0"/>
    <n v="6"/>
    <n v="0.42"/>
    <n v="0.63"/>
  </r>
  <r>
    <x v="19"/>
    <n v="192"/>
    <s v="71 kg"/>
    <d v="2026-06-30T00:00:00"/>
    <s v="181,000 € p/a"/>
    <x v="19"/>
    <s v="19 (9)"/>
    <s v="12.1 km"/>
    <n v="7.1"/>
    <n v="101.3"/>
    <n v="94.2"/>
    <n v="5.44"/>
    <n v="0.67"/>
    <n v="13"/>
    <n v="0.67"/>
    <n v="0.93"/>
    <n v="0.26"/>
    <n v="0"/>
    <n v="12"/>
    <n v="0.62"/>
    <n v="7"/>
    <n v="166"/>
    <n v="8.61"/>
    <n v="137"/>
    <n v="7.1"/>
    <n v="0.73"/>
    <n v="0.83"/>
    <n v="34"/>
    <n v="1.35"/>
    <n v="26"/>
    <n v="3"/>
    <n v="0.16"/>
    <n v="0.76"/>
    <n v="74"/>
    <n v="3.84"/>
    <n v="166"/>
    <n v="8.61"/>
    <n v="53"/>
    <n v="2.75"/>
    <n v="9.85"/>
    <n v="19.440000000000001"/>
    <n v="1.9736040609137058"/>
    <n v="24"/>
    <n v="1.24"/>
    <n v="20"/>
    <n v="5"/>
    <n v="0"/>
    <n v="1"/>
    <n v="8"/>
    <n v="0.41"/>
    <n v="0.88"/>
  </r>
  <r>
    <x v="20"/>
    <n v="191"/>
    <s v="86 kg"/>
    <d v="2027-06-30T00:00:00"/>
    <s v="754,000 € p/a"/>
    <x v="20"/>
    <n v="22"/>
    <s v="11.2 km"/>
    <n v="7.09"/>
    <n v="82.3"/>
    <n v="73.5"/>
    <n v="6.28"/>
    <n v="0.19"/>
    <n v="4"/>
    <n v="0.19"/>
    <n v="0.89"/>
    <n v="0.43"/>
    <n v="3"/>
    <n v="4"/>
    <n v="0.19"/>
    <n v="10"/>
    <n v="167"/>
    <n v="7.94"/>
    <n v="128"/>
    <n v="6.09"/>
    <n v="0.38"/>
    <n v="0.77"/>
    <n v="20"/>
    <n v="0.86"/>
    <n v="18"/>
    <n v="4"/>
    <n v="0.19"/>
    <n v="0.9"/>
    <n v="95"/>
    <n v="4.5199999999999996"/>
    <n v="72"/>
    <n v="3.42"/>
    <n v="24"/>
    <n v="1.1399999999999999"/>
    <n v="4.5599999999999996"/>
    <n v="20.78"/>
    <n v="4.5570175438596499"/>
    <n v="22"/>
    <n v="1.05"/>
    <n v="14"/>
    <n v="1"/>
    <n v="0"/>
    <n v="0"/>
    <n v="13"/>
    <n v="0.62"/>
    <n v="0.81"/>
  </r>
  <r>
    <x v="21"/>
    <n v="196"/>
    <s v="91 kg"/>
    <d v="2027-06-30T00:00:00"/>
    <s v="1,099,000 € p/a"/>
    <x v="21"/>
    <n v="22"/>
    <s v="11.2 km"/>
    <n v="7.02"/>
    <n v="66.19"/>
    <n v="58.99"/>
    <n v="4.41"/>
    <n v="0.37"/>
    <n v="8"/>
    <n v="0.37"/>
    <n v="0.89"/>
    <n v="0.14000000000000001"/>
    <n v="0"/>
    <n v="7"/>
    <n v="0.32"/>
    <n v="19"/>
    <n v="183"/>
    <n v="8.49"/>
    <n v="141"/>
    <n v="6.54"/>
    <n v="0.79"/>
    <n v="0.77"/>
    <n v="24"/>
    <n v="0.97"/>
    <n v="21"/>
    <n v="6"/>
    <n v="0.28000000000000003"/>
    <n v="0.88"/>
    <n v="65"/>
    <n v="3.02"/>
    <n v="69"/>
    <n v="3.2"/>
    <n v="29"/>
    <n v="1.35"/>
    <n v="2.5099999999999998"/>
    <n v="18.29"/>
    <n v="7.2868525896414349"/>
    <n v="27"/>
    <n v="1.25"/>
    <n v="20"/>
    <n v="5"/>
    <n v="0"/>
    <n v="0"/>
    <n v="15"/>
    <n v="0.7"/>
    <n v="0.97"/>
  </r>
  <r>
    <x v="22"/>
    <n v="191"/>
    <s v="84 kg"/>
    <d v="2025-06-30T00:00:00"/>
    <s v="244,000 € p/a"/>
    <x v="22"/>
    <n v="36"/>
    <s v="10.4 km"/>
    <n v="6.89"/>
    <n v="63.24"/>
    <n v="42.32"/>
    <n v="4.3499999999999996"/>
    <n v="1.26"/>
    <n v="21"/>
    <n v="0.59"/>
    <n v="0.67"/>
    <n v="0.08"/>
    <n v="0"/>
    <n v="4"/>
    <n v="0.11"/>
    <n v="9"/>
    <n v="528"/>
    <n v="14.81"/>
    <n v="438"/>
    <n v="12.28"/>
    <n v="0.5"/>
    <n v="0.83"/>
    <n v="42"/>
    <n v="0.98"/>
    <n v="35"/>
    <n v="11"/>
    <n v="0.31"/>
    <n v="0.83"/>
    <n v="126"/>
    <n v="3.53"/>
    <n v="129"/>
    <n v="3.62"/>
    <n v="63"/>
    <n v="1.77"/>
    <n v="2.89"/>
    <n v="19.100000000000001"/>
    <n v="6.608996539792388"/>
    <n v="61"/>
    <n v="1.71"/>
    <n v="30"/>
    <n v="3"/>
    <n v="0"/>
    <n v="0"/>
    <n v="20"/>
    <n v="0.56000000000000005"/>
    <n v="1.21"/>
  </r>
  <r>
    <x v="23"/>
    <n v="192"/>
    <s v="83 kg"/>
    <d v="2024-06-30T00:00:00"/>
    <s v="15,000 € p/a"/>
    <x v="23"/>
    <n v="8"/>
    <s v="10.6 km"/>
    <n v="6.72"/>
    <n v="64.88"/>
    <n v="47.38"/>
    <n v="3.88"/>
    <n v="0.38"/>
    <n v="3"/>
    <n v="0.38"/>
    <n v="0.73"/>
    <n v="0.38"/>
    <n v="1"/>
    <n v="1"/>
    <n v="0.12"/>
    <n v="2"/>
    <n v="134"/>
    <n v="16.75"/>
    <n v="111"/>
    <n v="13.88"/>
    <n v="0.12"/>
    <n v="0.83"/>
    <n v="2"/>
    <n v="0.25"/>
    <n v="2"/>
    <n v="1"/>
    <n v="0.12"/>
    <n v="1"/>
    <n v="36"/>
    <n v="4.5"/>
    <n v="23"/>
    <n v="2.88"/>
    <n v="10"/>
    <n v="1.25"/>
    <n v="3.25"/>
    <n v="18.75"/>
    <n v="5.7692307692307692"/>
    <n v="11"/>
    <n v="1.38"/>
    <n v="6"/>
    <n v="1"/>
    <n v="0"/>
    <n v="0"/>
    <n v="4"/>
    <n v="0.5"/>
    <n v="1.1200000000000001"/>
  </r>
  <r>
    <x v="24"/>
    <n v="194"/>
    <s v="84 kg"/>
    <d v="2027-06-30T00:00:00"/>
    <s v="1,300,000 € p/a"/>
    <x v="24"/>
    <n v="18"/>
    <s v="11.0 km"/>
    <n v="6.9"/>
    <n v="63.93"/>
    <n v="57.43"/>
    <n v="4.3"/>
    <s v="-"/>
    <n v="0"/>
    <n v="0"/>
    <n v="0.9"/>
    <n v="0"/>
    <n v="0"/>
    <n v="3"/>
    <n v="0.17"/>
    <n v="3"/>
    <n v="149"/>
    <n v="8.65"/>
    <n v="115"/>
    <n v="6.68"/>
    <n v="0.81"/>
    <n v="0.77"/>
    <n v="24"/>
    <n v="1.34"/>
    <n v="23"/>
    <n v="5"/>
    <n v="0.28999999999999998"/>
    <n v="0.96"/>
    <n v="42"/>
    <n v="2.44"/>
    <n v="76"/>
    <n v="4.41"/>
    <n v="33"/>
    <n v="1.92"/>
    <n v="3.19"/>
    <n v="18.64"/>
    <n v="5.8432601880877746"/>
    <n v="18"/>
    <n v="1.05"/>
    <n v="17"/>
    <n v="5"/>
    <n v="0"/>
    <n v="0"/>
    <n v="12"/>
    <n v="0.7"/>
    <n v="1.1599999999999999"/>
  </r>
  <r>
    <x v="25"/>
    <n v="194"/>
    <s v="86 kg"/>
    <d v="2025-06-30T00:00:00"/>
    <s v="271,000 € p/a"/>
    <x v="25"/>
    <s v="36 (1)"/>
    <s v="10.5 km"/>
    <n v="6.88"/>
    <n v="63.19"/>
    <n v="51.66"/>
    <n v="3.8"/>
    <n v="0.14000000000000001"/>
    <n v="5"/>
    <n v="0.14000000000000001"/>
    <n v="0.82"/>
    <n v="0.11"/>
    <n v="0"/>
    <n v="8"/>
    <n v="0.23"/>
    <n v="8"/>
    <n v="351"/>
    <n v="9.9499999999999993"/>
    <n v="267"/>
    <n v="7.57"/>
    <n v="0.62"/>
    <n v="0.76"/>
    <n v="44"/>
    <n v="1.05"/>
    <n v="37"/>
    <n v="9"/>
    <n v="0.26"/>
    <n v="0.84"/>
    <n v="102"/>
    <n v="2.89"/>
    <n v="165"/>
    <n v="4.68"/>
    <n v="68"/>
    <n v="1.93"/>
    <n v="2.21"/>
    <n v="20.260000000000002"/>
    <n v="9.1674208144796392"/>
    <n v="52"/>
    <n v="1.47"/>
    <n v="37"/>
    <n v="9"/>
    <n v="1"/>
    <n v="0"/>
    <n v="19"/>
    <n v="0.54"/>
    <n v="0.7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0C73FD-6AB0-415B-9EF7-984727FF2774}" name="TablaDinámica3" cacheId="116" applyNumberFormats="0" applyBorderFormats="0" applyFontFormats="0" applyPatternFormats="0" applyAlignmentFormats="0" applyWidthHeightFormats="1" dataCaption="Valores" updatedVersion="8" minRefreshableVersion="3" useAutoFormatting="1" subtotalHiddenItems="1" rowGrandTotals="0" itemPrintTitles="1" createdVersion="8" indent="0" outline="1" outlineData="1" multipleFieldFilters="0" chartFormat="4">
  <location ref="L3:M29" firstHeaderRow="1" firstDataRow="1" firstDataCol="1"/>
  <pivotFields count="2">
    <pivotField axis="axisRow" allDrilled="1" subtotalTop="0" showAll="0" sortType="ascending" defaultSubtotal="0" defaultAttributeDrillState="1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26">
    <i>
      <x v="20"/>
    </i>
    <i>
      <x v="21"/>
    </i>
    <i>
      <x v="6"/>
    </i>
    <i>
      <x v="24"/>
    </i>
    <i>
      <x v="14"/>
    </i>
    <i>
      <x v="15"/>
    </i>
    <i>
      <x v="10"/>
    </i>
    <i>
      <x v="19"/>
    </i>
    <i>
      <x v="4"/>
    </i>
    <i>
      <x v="5"/>
    </i>
    <i>
      <x v="16"/>
    </i>
    <i>
      <x v="2"/>
    </i>
    <i>
      <x v="1"/>
    </i>
    <i>
      <x v="25"/>
    </i>
    <i>
      <x v="11"/>
    </i>
    <i>
      <x/>
    </i>
    <i>
      <x v="17"/>
    </i>
    <i>
      <x v="12"/>
    </i>
    <i>
      <x v="3"/>
    </i>
    <i>
      <x v="9"/>
    </i>
    <i>
      <x v="8"/>
    </i>
    <i>
      <x v="7"/>
    </i>
    <i>
      <x v="18"/>
    </i>
    <i>
      <x v="22"/>
    </i>
    <i>
      <x v="13"/>
    </i>
    <i>
      <x v="23"/>
    </i>
  </rowItems>
  <colItems count="1">
    <i/>
  </colItems>
  <dataFields count="1">
    <dataField name="Suma de Cab G/90" fld="1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80"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B1C5C3-EC16-4AA4-A399-6001C2E0CDC2}" name="TablaDinámica6" cacheId="122" applyNumberFormats="0" applyBorderFormats="0" applyFontFormats="0" applyPatternFormats="0" applyAlignmentFormats="0" applyWidthHeightFormats="1" dataCaption="Valores" updatedVersion="8" minRefreshableVersion="3" useAutoFormatting="1" subtotalHiddenItems="1" rowGrandTotals="0" itemPrintTitles="1" createdVersion="8" indent="0" outline="1" outlineData="1" multipleFieldFilters="0" chartFormat="1">
  <location ref="U4:X30" firstHeaderRow="0" firstDataRow="1" firstDataCol="1"/>
  <pivotFields count="4">
    <pivotField axis="axisRow" allDrilled="1" subtotalTop="0" showAll="0" defaultSubtotal="0" defaultAttributeDrillState="1">
      <items count="26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Pos Gan/90" fld="2" baseField="0" baseItem="0"/>
    <dataField name="Suma de Pos Perd/90" fld="3" baseField="0" baseItem="0"/>
    <dataField name="Suma de Pos Gan/Per /90" fld="1" baseField="0" baseItem="0"/>
  </dataFields>
  <formats count="1">
    <format dxfId="20">
      <pivotArea collapsedLevelsAreSubtotals="1" fieldPosition="0">
        <references count="2">
          <reference field="4294967294" count="1" selected="0">
            <x v="2"/>
          </reference>
          <reference field="0" count="0"/>
        </references>
      </pivotArea>
    </format>
  </formats>
  <conditionalFormats count="3">
    <conditionalFormat priority="9">
      <pivotAreas count="1">
        <pivotArea type="data" outline="0" collapsedLevelsAreSubtotals="1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priority="10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13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Hierarchies count="80"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249E9A-3F02-464B-B9E4-B7B5E2CF9E6E}" name="TablaDinámica7" cacheId="131" applyNumberFormats="0" applyBorderFormats="0" applyFontFormats="0" applyPatternFormats="0" applyAlignmentFormats="0" applyWidthHeightFormats="1" dataCaption="Valores" updatedVersion="8" minRefreshableVersion="3" useAutoFormatting="1" subtotalHiddenItems="1" rowGrandTotals="0" itemPrintTitles="1" createdVersion="8" indent="0" outline="1" outlineData="1" multipleFieldFilters="0" chartFormat="12">
  <location ref="L34:M60" firstHeaderRow="1" firstDataRow="1" firstDataCol="1"/>
  <pivotFields count="2">
    <pivotField axis="axisRow" allDrilled="1" subtotalTop="0" showAll="0" sortType="ascending" defaultSubtotal="0" defaultAttributeDrillState="1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26">
    <i>
      <x v="9"/>
    </i>
    <i>
      <x v="14"/>
    </i>
    <i>
      <x v="25"/>
    </i>
    <i>
      <x v="11"/>
    </i>
    <i>
      <x v="2"/>
    </i>
    <i>
      <x v="6"/>
    </i>
    <i>
      <x v="24"/>
    </i>
    <i>
      <x v="4"/>
    </i>
    <i>
      <x v="21"/>
    </i>
    <i>
      <x v="20"/>
    </i>
    <i>
      <x v="15"/>
    </i>
    <i>
      <x v="7"/>
    </i>
    <i>
      <x v="16"/>
    </i>
    <i>
      <x v="1"/>
    </i>
    <i>
      <x v="5"/>
    </i>
    <i>
      <x v="12"/>
    </i>
    <i>
      <x v="10"/>
    </i>
    <i>
      <x v="18"/>
    </i>
    <i>
      <x v="8"/>
    </i>
    <i>
      <x/>
    </i>
    <i>
      <x v="22"/>
    </i>
    <i>
      <x v="23"/>
    </i>
    <i>
      <x v="3"/>
    </i>
    <i>
      <x v="19"/>
    </i>
    <i>
      <x v="17"/>
    </i>
    <i>
      <x v="13"/>
    </i>
  </rowItems>
  <colItems count="1">
    <i/>
  </colItems>
  <dataFields count="1">
    <dataField name="Suma de Rcg %" fld="1" baseField="0" baseItem="0" numFmtId="9"/>
  </dataFields>
  <formats count="3">
    <format dxfId="23">
      <pivotArea collapsedLevelsAreSubtotals="1" fieldPosition="0">
        <references count="1">
          <reference field="0" count="1">
            <x v="14"/>
          </reference>
        </references>
      </pivotArea>
    </format>
    <format dxfId="22">
      <pivotArea dataOnly="0" outline="0" axis="axisValues" fieldPosition="0"/>
    </format>
    <format dxfId="21">
      <pivotArea outline="0" collapsedLevelsAreSubtotals="1" fieldPosition="0"/>
    </format>
  </formats>
  <conditionalFormats count="1">
    <conditionalFormat priority="6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chartFormats count="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80"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1714AF-E6A6-4629-8DDB-3CD3CD72DAEA}" name="Pos Gan/Per" cacheId="7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8" indent="0" outline="1" outlineData="1" multipleFieldFilters="0" chartFormat="6">
  <location ref="U104:V130" firstHeaderRow="1" firstDataRow="1" firstDataCol="1"/>
  <pivotFields count="51">
    <pivotField axis="axisRow" showAll="0" sortType="ascending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showAll="0"/>
    <pivotField showAll="0"/>
    <pivotField showAll="0"/>
    <pivotField showAll="0"/>
    <pivotField numFmtId="9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2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6">
    <i>
      <x v="13"/>
    </i>
    <i>
      <x v="10"/>
    </i>
    <i>
      <x v="19"/>
    </i>
    <i>
      <x/>
    </i>
    <i>
      <x v="9"/>
    </i>
    <i>
      <x v="12"/>
    </i>
    <i>
      <x v="2"/>
    </i>
    <i>
      <x v="20"/>
    </i>
    <i>
      <x v="7"/>
    </i>
    <i>
      <x v="14"/>
    </i>
    <i>
      <x v="1"/>
    </i>
    <i>
      <x v="4"/>
    </i>
    <i>
      <x v="23"/>
    </i>
    <i>
      <x v="24"/>
    </i>
    <i>
      <x v="16"/>
    </i>
    <i>
      <x v="15"/>
    </i>
    <i>
      <x v="11"/>
    </i>
    <i>
      <x v="22"/>
    </i>
    <i>
      <x v="21"/>
    </i>
    <i>
      <x v="17"/>
    </i>
    <i>
      <x v="6"/>
    </i>
    <i>
      <x v="18"/>
    </i>
    <i>
      <x v="8"/>
    </i>
    <i>
      <x v="3"/>
    </i>
    <i>
      <x v="25"/>
    </i>
    <i>
      <x v="5"/>
    </i>
  </rowItems>
  <colItems count="1">
    <i/>
  </colItems>
  <dataFields count="1">
    <dataField name="Pos Gan/Per/90" fld="41" baseField="0" baseItem="0" numFmtId="2"/>
  </dataFields>
  <formats count="1">
    <format dxfId="24">
      <pivotArea outline="0" collapsedLevelsAreSubtotals="1" fieldPosition="0"/>
    </format>
  </format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027B91-0AF6-48B6-95EA-F1AA7DA0D51B}" name="TablaDinámica1" cacheId="125" applyNumberFormats="0" applyBorderFormats="0" applyFontFormats="0" applyPatternFormats="0" applyAlignmentFormats="0" applyWidthHeightFormats="1" dataCaption="Valores" updatedVersion="8" minRefreshableVersion="3" useAutoFormatting="1" subtotalHiddenItems="1" rowGrandTotals="0" itemPrintTitles="1" createdVersion="8" indent="0" outline="1" outlineData="1" multipleFieldFilters="0" chartFormat="8">
  <location ref="B3:D29" firstHeaderRow="0" firstDataRow="1" firstDataCol="1"/>
  <pivotFields count="3">
    <pivotField axis="axisRow" allDrilled="1" subtotalTop="0" showAll="0" sortType="descending" defaultSubtotal="0" defaultAttributeDrillState="1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dataField="1" subtotalTop="0" showAll="0" defaultSubtotal="0"/>
  </pivotFields>
  <rowFields count="1">
    <field x="0"/>
  </rowFields>
  <rowItems count="26">
    <i>
      <x v="19"/>
    </i>
    <i>
      <x/>
    </i>
    <i>
      <x v="20"/>
    </i>
    <i>
      <x v="15"/>
    </i>
    <i>
      <x v="4"/>
    </i>
    <i>
      <x v="11"/>
    </i>
    <i>
      <x v="16"/>
    </i>
    <i>
      <x v="1"/>
    </i>
    <i>
      <x v="14"/>
    </i>
    <i>
      <x v="21"/>
    </i>
    <i>
      <x v="12"/>
    </i>
    <i>
      <x v="24"/>
    </i>
    <i>
      <x v="5"/>
    </i>
    <i>
      <x v="7"/>
    </i>
    <i>
      <x v="8"/>
    </i>
    <i>
      <x v="25"/>
    </i>
    <i>
      <x v="17"/>
    </i>
    <i>
      <x v="3"/>
    </i>
    <i>
      <x v="23"/>
    </i>
    <i>
      <x v="10"/>
    </i>
    <i>
      <x v="18"/>
    </i>
    <i>
      <x v="22"/>
    </i>
    <i>
      <x v="2"/>
    </i>
    <i>
      <x v="6"/>
    </i>
    <i>
      <x v="9"/>
    </i>
    <i>
      <x v="13"/>
    </i>
  </rowItems>
  <colFields count="1">
    <field x="-2"/>
  </colFields>
  <colItems count="2">
    <i>
      <x/>
    </i>
    <i i="1">
      <x v="1"/>
    </i>
  </colItems>
  <dataFields count="2">
    <dataField name=" Pases Comp/90" fld="1" baseField="0" baseItem="8"/>
    <dataField name="% Pases" fld="2" baseField="0" baseItem="8"/>
  </dataFields>
  <formats count="1">
    <format dxfId="25">
      <pivotArea collapsedLevelsAreSubtotals="1" fieldPosition="0">
        <references count="2">
          <reference field="4294967294" count="1" selected="0">
            <x v="1"/>
          </reference>
          <reference field="0" count="0"/>
        </references>
      </pivotArea>
    </format>
  </formats>
  <chartFormats count="4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80"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 Pases Comp/90"/>
    <pivotHierarchy dragToData="1" caption="% Pases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6" showRowHeaders="1" showColHeaders="1" showRowStripes="0" showColStripes="0" showLastColumn="1"/>
  <rowHierarchiesUsage count="1"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ZGZ_DFC_IZQ_23_24.xlsx!Data">
        <x15:activeTabTopLevelEntity name="[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34C155-F110-4821-9055-BD3A062D3A9D}" name="TablaDinámica5" cacheId="119" applyNumberFormats="0" applyBorderFormats="0" applyFontFormats="0" applyPatternFormats="0" applyAlignmentFormats="0" applyWidthHeightFormats="1" dataCaption="Valores" updatedVersion="8" minRefreshableVersion="3" useAutoFormatting="1" subtotalHiddenItems="1" rowGrandTotals="0" itemPrintTitles="1" createdVersion="8" indent="0" outline="1" outlineData="1" multipleFieldFilters="0" chartFormat="2">
  <location ref="B40:G66" firstHeaderRow="0" firstDataRow="1" firstDataCol="1"/>
  <pivotFields count="6">
    <pivotField axis="axisRow" allDrilled="1" subtotalTop="0" showAll="0" defaultSubtotal="0" defaultAttributeDrillState="1">
      <items count="26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a de Ent Clv/90" fld="1" baseField="0" baseItem="0"/>
    <dataField name="Suma de Entr/90" fld="2" baseField="0" baseItem="0"/>
    <dataField name="Suma de Rob/90" fld="3" baseField="0" baseItem="0"/>
    <dataField name="Suma de Pres C/90" fld="4" baseField="0" baseItem="0"/>
    <dataField name="Suma de Desp/90" fld="5" baseField="0" baseItem="0"/>
  </dataFields>
  <conditionalFormats count="5">
    <conditionalFormat priority="14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  <conditionalFormat priority="15">
      <pivotAreas count="1">
        <pivotArea type="data" outline="0" collapsedLevelsAreSubtotals="1" fieldPosition="0">
          <references count="1">
            <reference field="4294967294" count="1" selected="0">
              <x v="3"/>
            </reference>
          </references>
        </pivotArea>
      </pivotAreas>
    </conditionalFormat>
    <conditionalFormat priority="16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17">
      <pivotAreas count="1">
        <pivotArea type="data" outline="0" collapsedLevelsAreSubtotals="1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priority="18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Hierarchies count="80"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E11286-4925-423B-8402-2D77BFEF391A}" name="TablaDinámica8" cacheId="134" applyNumberFormats="0" applyBorderFormats="0" applyFontFormats="0" applyPatternFormats="0" applyAlignmentFormats="0" applyWidthHeightFormats="1" dataCaption="Valores" updatedVersion="8" minRefreshableVersion="3" useAutoFormatting="1" subtotalHiddenItems="1" rowGrandTotals="0" itemPrintTitles="1" createdVersion="8" indent="0" outline="1" outlineData="1" multipleFieldFilters="0" chartFormat="4">
  <location ref="U75:W101" firstHeaderRow="0" firstDataRow="1" firstDataCol="1"/>
  <pivotFields count="3">
    <pivotField axis="axisRow" allDrilled="1" subtotalTop="0" showAll="0" defaultSubtotal="0" defaultAttributeDrillState="1">
      <items count="26">
        <item x="24"/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5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</rowItems>
  <colFields count="1">
    <field x="-2"/>
  </colFields>
  <colItems count="2">
    <i>
      <x/>
    </i>
    <i i="1">
      <x v="1"/>
    </i>
  </colItems>
  <dataFields count="2">
    <dataField name="Suma de Bal aér/90" fld="1" baseField="0" baseItem="0"/>
    <dataField name="Suma de Cab Clv/90" fld="2" baseField="0" baseItem="0"/>
  </dataFields>
  <conditionalFormats count="2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priority="4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Hierarchies count="80"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141922-0E58-46CC-9C8A-BA4A0BA5DD0F}" name="TablaDinámica2" cacheId="128" applyNumberFormats="0" applyBorderFormats="0" applyFontFormats="0" applyPatternFormats="0" applyAlignmentFormats="0" applyWidthHeightFormats="1" dataCaption="Valores" updatedVersion="8" minRefreshableVersion="3" useAutoFormatting="1" subtotalHiddenItems="1" rowGrandTotals="0" itemPrintTitles="1" createdVersion="8" indent="0" outline="1" outlineData="1" multipleFieldFilters="0">
  <location ref="U40:Y66" firstHeaderRow="0" firstDataRow="1" firstDataCol="1"/>
  <pivotFields count="5">
    <pivotField axis="axisRow" allDrilled="1" subtotalTop="0" showAll="0" defaultSubtotal="0" defaultAttributeDrillState="1">
      <items count="26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a de Bal aér/90" fld="1" baseField="0" baseItem="0"/>
    <dataField name="Suma de Cab G/90" fld="2" baseField="0" baseItem="0"/>
    <dataField name="Suma de Cab Clv/90" fld="3" baseField="0" baseItem="0"/>
    <dataField name="Suma de Rcg %" fld="4" baseField="0" baseItem="0"/>
  </dataFields>
  <conditionalFormats count="4">
    <conditionalFormat priority="19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20">
      <pivotAreas count="1">
        <pivotArea type="data" outline="0" collapsedLevelsAreSubtotals="1" fieldPosition="0">
          <references count="1">
            <reference field="4294967294" count="1" selected="0">
              <x v="3"/>
            </reference>
          </references>
        </pivotArea>
      </pivotAreas>
    </conditionalFormat>
    <conditionalFormat priority="22">
      <pivotAreas count="1">
        <pivotArea type="data" outline="0" collapsedLevelsAreSubtotals="1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priority="23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Hierarchies count="80"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" xr10:uid="{47960C55-EA8B-4D55-A56A-4885F1BD2E05}" sourceName="[Data].[Nombre]">
  <pivotTables>
    <pivotTable tabId="5" name="TablaDinámica3"/>
    <pivotTable tabId="5" name="TablaDinámica5"/>
    <pivotTable tabId="5" name="TablaDinámica6"/>
    <pivotTable tabId="5" name="TablaDinámica1"/>
    <pivotTable tabId="5" name="TablaDinámica2"/>
    <pivotTable tabId="5" name="TablaDinámica7"/>
    <pivotTable tabId="5" name="TablaDinámica8"/>
  </pivotTables>
  <data>
    <olap pivotCacheId="1564923435">
      <levels count="2">
        <level uniqueName="[Data].[Nombre].[(All)]" sourceCaption="(All)" count="0"/>
        <level uniqueName="[Data].[Nombre].[Nombre]" sourceCaption="Nombre" count="26">
          <ranges>
            <range startItem="0">
              <i n="[Data].[Nombre].&amp;[Álex Pérez]" c="Álex Pérez"/>
              <i n="[Data].[Nombre].&amp;[Attila Szalai]" c="Attila Szalai"/>
              <i n="[Data].[Nombre].&amp;[Damián Canedo]" c="Damián Canedo"/>
              <i n="[Data].[Nombre].&amp;[Dan Happe]" c="Dan Happe"/>
              <i n="[Data].[Nombre].&amp;[David Carmo]" c="David Carmo"/>
              <i n="[Data].[Nombre].&amp;[David Domgjoni]" c="David Domgjoni"/>
              <i n="[Data].[Nombre].&amp;[Dimitrie Deumi Nappi]" c="Dimitrie Deumi Nappi"/>
              <i n="[Data].[Nombre].&amp;[Dominic Revan]" c="Dominic Revan"/>
              <i n="[Data].[Nombre].&amp;[Ertuğrul Kurtuluş]" c="Ertuğrul Kurtuluş"/>
              <i n="[Data].[Nombre].&amp;[Jorge Herrando]" c="Jorge Herrando"/>
              <i n="[Data].[Nombre].&amp;[José Manuel Copete]" c="José Manuel Copete"/>
              <i n="[Data].[Nombre].&amp;[Luis Binks]" c="Luis Binks"/>
              <i n="[Data].[Nombre].&amp;[Luka Lochoshvili]" c="Luka Lochoshvili"/>
              <i n="[Data].[Nombre].&amp;[Mariano Fazio]" c="Mariano Fazio"/>
              <i n="[Data].[Nombre].&amp;[Marin Pongračić]" c="Marin Pongračić"/>
              <i n="[Data].[Nombre].&amp;[Matthias Ginter]" c="Matthias Ginter"/>
              <i n="[Data].[Nombre].&amp;[Maxime Estève]" c="Maxime Estève"/>
              <i n="[Data].[Nombre].&amp;[Nicolás Meriano]" c="Nicolás Meriano"/>
              <i n="[Data].[Nombre].&amp;[Nicolas Taravel]" c="Nicolas Taravel"/>
              <i n="[Data].[Nombre].&amp;[Nikos Michelis]" c="Nikos Michelis"/>
              <i n="[Data].[Nombre].&amp;[Ousmane Diomandé]" c="Ousmane Diomandé"/>
              <i n="[Data].[Nombre].&amp;[Patric Pfeiffer]" c="Patric Pfeiffer"/>
              <i n="[Data].[Nombre].&amp;[Samuel Biek]" c="Samuel Biek"/>
              <i n="[Data].[Nombre].&amp;[Samuel Gómez]" c="Samuel Gómez"/>
              <i n="[Data].[Nombre].&amp;[Strahinja Pavlović]" c="Strahinja Pavlović"/>
              <i n="[Data].[Nombre].&amp;[Stuart Findlay]" c="Stuart Findlay"/>
            </range>
          </ranges>
        </level>
      </levels>
      <selections count="1">
        <selection n="[Data].[Nombre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in" xr10:uid="{F546CA46-6E54-47A2-857C-FD656E9F4CA7}" sourceName="[Data].[Min]">
  <pivotTables>
    <pivotTable tabId="5" name="TablaDinámica3"/>
    <pivotTable tabId="5" name="TablaDinámica1"/>
    <pivotTable tabId="5" name="TablaDinámica2"/>
    <pivotTable tabId="5" name="TablaDinámica5"/>
    <pivotTable tabId="5" name="TablaDinámica6"/>
    <pivotTable tabId="5" name="TablaDinámica7"/>
    <pivotTable tabId="5" name="TablaDinámica8"/>
  </pivotTables>
  <data>
    <olap pivotCacheId="1564923435">
      <levels count="2">
        <level uniqueName="[Data].[Min].[(All)]" sourceCaption="(All)" count="0"/>
        <level uniqueName="[Data].[Min].[Min]" sourceCaption="Min" count="26" sortOrder="descending">
          <ranges>
            <range startItem="0">
              <i n="[Data].[Min].&amp;[3243]" c="3243"/>
              <i n="[Data].[Min].&amp;[3209]" c="3209"/>
              <i n="[Data].[Min].&amp;[3176]" c="3176"/>
              <i n="[Data].[Min].&amp;[2750]" c="2750"/>
              <i n="[Data].[Min].&amp;[2663]" c="2663"/>
              <i n="[Data].[Min].&amp;[2579]" c="2579"/>
              <i n="[Data].[Min].&amp;[2376]" c="2376"/>
              <i n="[Data].[Min].&amp;[2358]" c="2358"/>
              <i n="[Data].[Min].&amp;[2160]" c="2160"/>
              <i n="[Data].[Min].&amp;[2101]" c="2101"/>
              <i n="[Data].[Min].&amp;[2068]" c="2068"/>
              <i n="[Data].[Min].&amp;[2005]" c="2005"/>
              <i n="[Data].[Min].&amp;[1939]" c="1939"/>
              <i n="[Data].[Min].&amp;[1893]" c="1893"/>
              <i n="[Data].[Min].&amp;[1756]" c="1756"/>
              <i n="[Data].[Min].&amp;[1736]" c="1736"/>
              <i n="[Data].[Min].&amp;[1550]" c="1550"/>
              <i n="[Data].[Min].&amp;[1511]" c="1511"/>
              <i n="[Data].[Min].&amp;[1363]" c="1363"/>
              <i n="[Data].[Min].&amp;[1285]" c="1285"/>
              <i n="[Data].[Min].&amp;[1264]" c="1264"/>
              <i n="[Data].[Min].&amp;[720]" c="720"/>
              <i n="[Data].[Min].&amp;[409]" c="409"/>
              <i n="[Data].[Min].&amp;[331]" c="331"/>
              <i n="[Data].[Min].&amp;[181]" c="181"/>
              <i n="[Data].[Min].&amp;[160]" c="160"/>
            </range>
          </ranges>
        </level>
      </levels>
      <selections count="1">
        <selection n="[Data].[Mi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ltura" xr10:uid="{E247E9C7-65FB-4FEB-A424-98F894FB71DD}" sourceName="[Data].[Altura]">
  <pivotTables>
    <pivotTable tabId="5" name="TablaDinámica3"/>
    <pivotTable tabId="5" name="TablaDinámica1"/>
    <pivotTable tabId="5" name="TablaDinámica2"/>
    <pivotTable tabId="5" name="TablaDinámica5"/>
    <pivotTable tabId="5" name="TablaDinámica6"/>
    <pivotTable tabId="5" name="TablaDinámica7"/>
    <pivotTable tabId="5" name="TablaDinámica8"/>
  </pivotTables>
  <data>
    <olap pivotCacheId="1564923435">
      <levels count="2">
        <level uniqueName="[Data].[Altura].[(All)]" sourceCaption="(All)" count="0"/>
        <level uniqueName="[Data].[Altura].[Altura]" sourceCaption="Altura" count="6">
          <ranges>
            <range startItem="0">
              <i n="[Data].[Altura].&amp;[190]" c="190"/>
              <i n="[Data].[Altura].&amp;[191]" c="191"/>
              <i n="[Data].[Altura].&amp;[192]" c="192"/>
              <i n="[Data].[Altura].&amp;[193]" c="193"/>
              <i n="[Data].[Altura].&amp;[194]" c="194"/>
              <i n="[Data].[Altura].&amp;[196]" c="196"/>
            </range>
          </ranges>
        </level>
      </levels>
      <selections count="1">
        <selection n="[Data].[Altura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Data].[Altura].[Altura]" count="0"/>
      </x15:slicerCacheHideItemsWithNoData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ueldo" xr10:uid="{9BD8D1E7-3AE2-49E8-8F41-EBFA2EBB2C10}" sourceName="[Data].[Sueldo]">
  <pivotTables>
    <pivotTable tabId="5" name="TablaDinámica3"/>
    <pivotTable tabId="5" name="TablaDinámica1"/>
    <pivotTable tabId="5" name="TablaDinámica2"/>
    <pivotTable tabId="5" name="TablaDinámica5"/>
    <pivotTable tabId="5" name="TablaDinámica6"/>
    <pivotTable tabId="5" name="TablaDinámica7"/>
    <pivotTable tabId="5" name="TablaDinámica8"/>
  </pivotTables>
  <data>
    <olap pivotCacheId="1564923435">
      <levels count="2">
        <level uniqueName="[Data].[Sueldo].[(All)]" sourceCaption="(All)" count="0"/>
        <level uniqueName="[Data].[Sueldo].[Sueldo]" sourceCaption="Sueldo" count="26">
          <ranges>
            <range startItem="0">
              <i n="[Data].[Sueldo].&amp;[1,017,000 € p/a]" c="1,017,000 € p/a"/>
              <i n="[Data].[Sueldo].&amp;[1,099,000 € p/a]" c="1,099,000 € p/a"/>
              <i n="[Data].[Sueldo].&amp;[1,300,000 € p/a]" c="1,300,000 € p/a"/>
              <i n="[Data].[Sueldo].&amp;[1,585,000 € p/a]" c="1,585,000 € p/a"/>
              <i n="[Data].[Sueldo].&amp;[1,642,000 € p/a]" c="1,642,000 € p/a"/>
              <i n="[Data].[Sueldo].&amp;[15,000 € p/a]" c="15,000 € p/a"/>
              <i n="[Data].[Sueldo].&amp;[157,000 € p/a]" c="157,000 € p/a"/>
              <i n="[Data].[Sueldo].&amp;[181,000 € p/a]" c="181,000 € p/a"/>
              <i n="[Data].[Sueldo].&amp;[19,000 € p/a]" c="19,000 € p/a"/>
              <i n="[Data].[Sueldo].&amp;[2,194,000 € p/a]" c="2,194,000 € p/a"/>
              <i n="[Data].[Sueldo].&amp;[2,340,000 € p/a]" c="2,340,000 € p/a"/>
              <i n="[Data].[Sueldo].&amp;[20,000 € p/a]" c="20,000 € p/a"/>
              <i n="[Data].[Sueldo].&amp;[244,000 € p/a]" c="244,000 € p/a"/>
              <i n="[Data].[Sueldo].&amp;[271,000 € p/a]" c="271,000 € p/a"/>
              <i n="[Data].[Sueldo].&amp;[374,000 € p/a]" c="374,000 € p/a"/>
              <i n="[Data].[Sueldo].&amp;[39,500 € p/a]" c="39,500 € p/a"/>
              <i n="[Data].[Sueldo].&amp;[40,500 € p/a]" c="40,500 € p/a"/>
              <i n="[Data].[Sueldo].&amp;[454,000 € p/a]" c="454,000 € p/a"/>
              <i n="[Data].[Sueldo].&amp;[499,000 € p/a]" c="499,000 € p/a"/>
              <i n="[Data].[Sueldo].&amp;[57,500 € p/a]" c="57,500 € p/a"/>
              <i n="[Data].[Sueldo].&amp;[68,000 € p/a]" c="68,000 € p/a"/>
              <i n="[Data].[Sueldo].&amp;[754,000 € p/a]" c="754,000 € p/a"/>
              <i n="[Data].[Sueldo].&amp;[86,000 € p/a]" c="86,000 € p/a"/>
              <i n="[Data].[Sueldo].&amp;[875,000 € p/a]" c="875,000 € p/a"/>
              <i n="[Data].[Sueldo].&amp;[89,500 € p/a]" c="89,500 € p/a"/>
              <i n="[Data].[Sueldo].&amp;[971,000 € p/a]" c="971,000 € p/a"/>
            </range>
          </ranges>
        </level>
      </levels>
      <selections count="1">
        <selection n="[Data].[Sueldo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dia" xr10:uid="{38AA6FB3-FBC9-4311-B1FD-69657B5B5B51}" sourceName="[Data].[Media]">
  <pivotTables>
    <pivotTable tabId="5" name="TablaDinámica3"/>
    <pivotTable tabId="5" name="TablaDinámica1"/>
    <pivotTable tabId="5" name="TablaDinámica2"/>
    <pivotTable tabId="5" name="TablaDinámica5"/>
    <pivotTable tabId="5" name="TablaDinámica6"/>
    <pivotTable tabId="5" name="TablaDinámica7"/>
    <pivotTable tabId="5" name="TablaDinámica8"/>
  </pivotTables>
  <data>
    <olap pivotCacheId="1564923435">
      <levels count="2">
        <level uniqueName="[Data].[Media].[(All)]" sourceCaption="(All)" count="0"/>
        <level uniqueName="[Data].[Media].[Media]" sourceCaption="Media" count="23" sortOrder="descending">
          <ranges>
            <range startItem="0">
              <i n="[Data].[Media].&amp;[7.21]" c="7.21"/>
              <i n="[Data].[Media].&amp;[7.15]" c="7.15"/>
              <i n="[Data].[Media].&amp;[7.1]" c="7.1"/>
              <i n="[Data].[Media].&amp;[7.09]" c="7.09"/>
              <i n="[Data].[Media].&amp;[7.07]" c="7.07"/>
              <i n="[Data].[Media].&amp;[7.06]" c="7.06"/>
              <i n="[Data].[Media].&amp;[7.05]" c="7.05"/>
              <i n="[Data].[Media].&amp;[7.04]" c="7.04"/>
              <i n="[Data].[Media].&amp;[7.02]" c="7.02"/>
              <i n="[Data].[Media].&amp;[7.01]" c="7.01"/>
              <i n="[Data].[Media].&amp;[6.99]" c="6.99"/>
              <i n="[Data].[Media].&amp;[6.98]" c="6.98"/>
              <i n="[Data].[Media].&amp;[6.96]" c="6.96"/>
              <i n="[Data].[Media].&amp;[6.94]" c="6.94"/>
              <i n="[Data].[Media].&amp;[6.9]" c="6.9"/>
              <i n="[Data].[Media].&amp;[6.89]" c="6.89"/>
              <i n="[Data].[Media].&amp;[6.88]" c="6.88"/>
              <i n="[Data].[Media].&amp;[6.76]" c="6.76"/>
              <i n="[Data].[Media].&amp;[6.74]" c="6.74"/>
              <i n="[Data].[Media].&amp;[6.72]" c="6.72"/>
              <i n="[Data].[Media].&amp;[6.71]" c="6.71"/>
              <i n="[Data].[Media].&amp;[6.67]" c="6.67"/>
              <i n="[Data].[Media].&amp;[6.33]" c="6.33"/>
            </range>
          </ranges>
        </level>
      </levels>
      <selections count="1">
        <selection n="[Data].[Media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bre" xr10:uid="{DF1905B8-E191-497A-B189-16E74D5B7C78}" cache="SegmentaciónDeDatos_Nombre" caption="Nombre" level="1" style="SlicerStyleLight2" rowHeight="180000"/>
  <slicer name="Min" xr10:uid="{76883FFE-733F-484B-A26D-087D1FDDC132}" cache="SegmentaciónDeDatos_Min" caption="Min" columnCount="3" level="1" style="SlicerStyleLight2" rowHeight="241300"/>
  <slicer name="Altura" xr10:uid="{232AD39B-A340-44F8-B01B-9F8934FE24BE}" cache="SegmentaciónDeDatos_Altura" caption="Altura" columnCount="3" level="1" style="SlicerStyleLight2" rowHeight="144000"/>
  <slicer name="Sueldo" xr10:uid="{6AD4CE90-6DED-4DAA-98FF-CC236BCE4F42}" cache="SegmentaciónDeDatos_Sueldo" caption="Sueldo" level="1" style="SlicerStyleLight2" rowHeight="180000"/>
  <slicer name="Media" xr10:uid="{ACA2B3F1-2370-418A-93A8-BEA749E87157}" cache="SegmentaciónDeDatos_Media" caption="Media" columnCount="3" level="1" style="SlicerStyleLight2" rowHeight="216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DE7EFD-5465-4A36-AE44-6185C2000024}" name="dfc_izq" displayName="dfc_izq" ref="A1:CP27" totalsRowShown="0" headerRowDxfId="180" dataDxfId="178" headerRowBorderDxfId="179" tableBorderDxfId="177" totalsRowBorderDxfId="176">
  <autoFilter ref="A1:CP27" xr:uid="{E8DE7EFD-5465-4A36-AE44-6185C2000024}"/>
  <tableColumns count="94">
    <tableColumn id="1" xr3:uid="{EF521FBE-F575-4A1D-85C0-6BB152A400A3}" name="IU" dataDxfId="175"/>
    <tableColumn id="2" xr3:uid="{06E14F84-D58B-4DE9-9191-A4D1BEC51CFE}" name="Nombre" dataDxfId="174"/>
    <tableColumn id="3" xr3:uid="{7CAD0C5A-A30D-439D-BEAF-FCAF24F7378F}" name="Procedencia" dataDxfId="173"/>
    <tableColumn id="4" xr3:uid="{9176A9F5-A439-42E5-ACF2-EDDD99966AB0}" name="División" dataDxfId="172"/>
    <tableColumn id="5" xr3:uid="{A47F5155-698D-4617-8EE4-4F1928E79959}" name="Club" dataDxfId="171"/>
    <tableColumn id="7" xr3:uid="{6086E14A-013B-42BD-A1EC-57084A0C1471}" name="Nac" dataDxfId="170"/>
    <tableColumn id="8" xr3:uid="{B88C976F-1963-4306-91F1-7031656260D9}" name="2ª Nac" dataDxfId="169"/>
    <tableColumn id="9" xr3:uid="{35559E22-BF8C-4D39-B6D4-C5D6B7364245}" name="Posición" dataDxfId="168"/>
    <tableColumn id="12" xr3:uid="{C3932A14-ABBC-4AAF-80AB-15BC6ABFA27E}" name="Edad" dataDxfId="167"/>
    <tableColumn id="13" xr3:uid="{2D8CE57D-1480-4C0F-888E-E795C4DFF90A}" name="Altura" dataDxfId="166"/>
    <tableColumn id="14" xr3:uid="{F8373FF9-5319-42B4-9AC5-CE788A64E0FB}" name="Peso" dataDxfId="165"/>
    <tableColumn id="17" xr3:uid="{A87AC3B9-955A-4BB8-B665-4F3D482CF4F1}" name="Final" dataDxfId="164"/>
    <tableColumn id="18" xr3:uid="{71F1DABB-6C41-46A7-ADEA-BA1F22D0366E}" name="Sueldo" dataDxfId="163"/>
    <tableColumn id="19" xr3:uid="{5B96778C-312E-4E3C-94F6-4CBA7F575B31}" name="Min" dataDxfId="162"/>
    <tableColumn id="20" xr3:uid="{E3487771-FD43-4138-BDA3-C13F1193516A}" name="Min/Par" dataDxfId="161"/>
    <tableColumn id="22" xr3:uid="{9F4400CD-12C7-4FCA-9663-3A176BAE22B5}" name="Part" dataDxfId="160"/>
    <tableColumn id="23" xr3:uid="{EE9BA48C-5C0A-422D-B98F-0B9F2FE4E054}" name="Distancia" dataDxfId="159"/>
    <tableColumn id="24" xr3:uid="{37C88421-D227-4F28-A40C-369D9EAA1614}" name="Dist/90" dataDxfId="158"/>
    <tableColumn id="25" xr3:uid="{DD0D1396-783D-4318-95BC-FC12CC203391}" name="Esprints/90" dataDxfId="157"/>
    <tableColumn id="26" xr3:uid="{72DCA107-7CA2-47C7-8D1F-C434DC0CA946}" name="Media" dataDxfId="156"/>
    <tableColumn id="27" xr3:uid="{F6227CA3-636B-43D3-8CE4-3FB9F8CCD522}" name="JPar" dataDxfId="155"/>
    <tableColumn id="28" xr3:uid="{E006F1F8-C5C3-47CC-BC14-D38E2D3EA309}" name="Pas I" dataDxfId="154"/>
    <tableColumn id="29" xr3:uid="{0CF32E20-749B-4158-9FCB-75BA41ACCBA4}" name="Ps I/90" dataDxfId="153"/>
    <tableColumn id="30" xr3:uid="{90DAE0DF-FDF1-464F-8772-CC7A96AAC752}" name="Pas C" dataDxfId="152"/>
    <tableColumn id="31" xr3:uid="{DA9F5BCF-607C-46EB-99BF-3066DC5D4E5C}" name="Ps C/90" dataDxfId="151"/>
    <tableColumn id="32" xr3:uid="{3A27EA5F-B785-4700-8BCE-3756763BC588}" name="Pases prog/90" dataDxfId="150"/>
    <tableColumn id="33" xr3:uid="{88F414B1-2E49-4FB8-867A-73AFF623EE44}" name="Pases prog" dataDxfId="149"/>
    <tableColumn id="34" xr3:uid="{FE6CC84F-9E6D-4416-A0C6-812AF459BDAF}" name="Pas Cl" dataDxfId="148"/>
    <tableColumn id="35" xr3:uid="{7812AC0F-8C97-45B3-994D-13223BA72108}" name="Pas Clv/90" dataDxfId="147"/>
    <tableColumn id="36" xr3:uid="{5717707B-6918-4437-B2D0-6F1AB21B2985}" name="P Clv- J Ab" dataDxfId="146"/>
    <tableColumn id="37" xr3:uid="{534D9255-C156-47D3-9346-45B2A0170F66}" name="P Clv-J Ab/90" dataDxfId="145"/>
    <tableColumn id="38" xr3:uid="{1A74A46D-D846-457A-A8B5-04BE5B01FE3E}" name="% Pase" dataDxfId="144"/>
    <tableColumn id="39" xr3:uid="{D7AD3A71-F815-40FF-A0C2-18AC258756C8}" name="Asis" dataDxfId="143"/>
    <tableColumn id="40" xr3:uid="{7E608F12-9846-4B7B-8AA5-09730EEEB1C5}" name="Asis/90" dataDxfId="142"/>
    <tableColumn id="41" xr3:uid="{6952B0B1-BCFC-467E-A824-45C0DF25DC6C}" name="xA" dataDxfId="141"/>
    <tableColumn id="42" xr3:uid="{2FAF1F0F-48CD-4567-AC16-EF474F2C12CA}" name="AsiE/90" dataDxfId="140"/>
    <tableColumn id="43" xr3:uid="{C13A0481-B7BE-4845-BE25-3FC55F9A84DD}" name="Disparos" dataDxfId="139"/>
    <tableColumn id="44" xr3:uid="{2E73ABF6-F123-4F56-9C11-F1EABB7FD1C4}" name="Tir/90" dataDxfId="138"/>
    <tableColumn id="45" xr3:uid="{690128A8-2F7A-40E8-81AF-7DF60FDB7D06}" name="TaP" dataDxfId="137"/>
    <tableColumn id="46" xr3:uid="{F83198F5-2E3E-4EB3-8AE1-9AD92FB29BCA}" name="TirP/90" dataDxfId="136"/>
    <tableColumn id="47" xr3:uid="{A68C3F16-DEA7-4444-B6EF-68B184546DC9}" name="% disparos" dataDxfId="135"/>
    <tableColumn id="48" xr3:uid="{57F1D1F3-7624-4A6E-BF77-AFA26DACF97C}" name="OCG" dataDxfId="134"/>
    <tableColumn id="49" xr3:uid="{098DF7A9-E38C-46DD-9072-EBF73ECAC8C6}" name="Oc C/90" dataDxfId="133"/>
    <tableColumn id="50" xr3:uid="{993FFED3-7F21-4E17-B3FB-B2CAE9B51276}" name="% conv" dataDxfId="132"/>
    <tableColumn id="51" xr3:uid="{F68E9C06-52A3-471C-A659-959F0400E125}" name="xG" dataDxfId="131"/>
    <tableColumn id="52" xr3:uid="{27BAD316-5B7B-48CC-99C4-ADE5A1B882FB}" name="xG/disparo" dataDxfId="130"/>
    <tableColumn id="53" xr3:uid="{24400C23-F317-4F9B-B552-5ACFF1058A3F}" name="Gol" dataDxfId="129"/>
    <tableColumn id="54" xr3:uid="{504F1949-AD9E-41CE-9400-B9E7CC31A903}" name="Gol/90" dataDxfId="128"/>
    <tableColumn id="55" xr3:uid="{99FC2450-AA83-4C21-88EA-17B1D883111F}" name="Min/Gl" dataDxfId="127"/>
    <tableColumn id="56" xr3:uid="{5B192738-4408-45A1-A213-9B29B54AACA6}" name="xG/90" dataDxfId="126"/>
    <tableColumn id="57" xr3:uid="{2157D5BF-1E10-496C-B5AE-BBD2D6219F4F}" name="xG- SP" dataDxfId="125"/>
    <tableColumn id="58" xr3:uid="{867F2A83-B761-4D6B-8507-19878A854858}" name="XG -SP/90" dataDxfId="124"/>
    <tableColumn id="59" xr3:uid="{E892D5A5-A2D6-4FA2-B471-971D72893E2E}" name="xG- HR" dataDxfId="123"/>
    <tableColumn id="63" xr3:uid="{8B668F93-939D-418E-B88F-5B3D123A22F1}" name="GlEq" dataDxfId="122"/>
    <tableColumn id="64" xr3:uid="{EA139572-D865-4511-B923-D6DE497FC745}" name="GlEq/90" dataDxfId="121"/>
    <tableColumn id="65" xr3:uid="{FC050BAD-7654-4CA7-A496-A01F1B4DBF8D}" name="Cen.In" dataDxfId="120"/>
    <tableColumn id="66" xr3:uid="{C0998389-D19C-48C9-884A-E08A8CD6CA9F}" name="Cen I/90" dataDxfId="119"/>
    <tableColumn id="67" xr3:uid="{32715993-95D5-4390-A809-1FA862F36626}" name="Cen.Com" dataDxfId="118"/>
    <tableColumn id="68" xr3:uid="{BC7CD240-2691-41AA-824C-6F995F1A2B87}" name="Cen C/90" dataDxfId="117"/>
    <tableColumn id="69" xr3:uid="{4CEFE94E-B02D-44B1-AADB-66045ECECE8C}" name="Cen.C/I" dataDxfId="116"/>
    <tableColumn id="70" xr3:uid="{C03BED50-F6DF-4379-AEFC-39383B30604E}" name="Reg" dataDxfId="115"/>
    <tableColumn id="71" xr3:uid="{A476C346-936F-4746-8B62-041EC9334504}" name="Reg/90" dataDxfId="114"/>
    <tableColumn id="72" xr3:uid="{EEA07032-2A1B-4758-8D1C-DB48EB7E0DD0}" name="FR" dataDxfId="113"/>
    <tableColumn id="73" xr3:uid="{F6634242-E5AC-4A5F-B06D-C1F932A76989}" name="Fdj" dataDxfId="112"/>
    <tableColumn id="74" xr3:uid="{D0A91C90-3430-4D30-81FB-2C6D6778E4BC}" name="Cab Int" dataDxfId="111"/>
    <tableColumn id="75" xr3:uid="{DF8A94C6-A846-4F3A-80CD-DB02127D51A0}" name="Bal aér/90" dataDxfId="110"/>
    <tableColumn id="76" xr3:uid="{9256B633-1A04-40A2-89FF-192C2A642250}" name="Cab" dataDxfId="109"/>
    <tableColumn id="77" xr3:uid="{58FE073F-DE5E-47DA-BD9E-317F7609B186}" name="Cab G/90" dataDxfId="108"/>
    <tableColumn id="78" xr3:uid="{3470E4D2-7619-4151-87E5-4FDDCCF67B66}" name="Cab Clv/90" dataDxfId="107"/>
    <tableColumn id="79" xr3:uid="{A5D0B1BB-C18C-46E6-9EE7-2BEADDB52EEA}" name="Rcg %" dataDxfId="106"/>
    <tableColumn id="80" xr3:uid="{AFC53D26-4180-45C9-8337-C4F447B9928D}" name="Ent I" dataDxfId="105"/>
    <tableColumn id="81" xr3:uid="{C7942C54-1B8D-42F6-82C3-8AA5566F2CFB}" name="Entr/90" dataDxfId="104"/>
    <tableColumn id="82" xr3:uid="{126FFD56-ADFB-4439-9AF8-684305584738}" name="Ent G" dataDxfId="103"/>
    <tableColumn id="83" xr3:uid="{4A436441-A1A3-4A25-9550-C15B30E1E0F6}" name="Ent Cl" dataDxfId="102"/>
    <tableColumn id="84" xr3:uid="{4D88A4BD-93FF-4104-B3EC-C1B677C5970E}" name="Ent Clv/90" dataDxfId="101"/>
    <tableColumn id="85" xr3:uid="{11D2B86A-5774-4B72-9AB0-7970DC6582DB}" name="Ent P" dataDxfId="100"/>
    <tableColumn id="86" xr3:uid="{DD90B045-1FDE-4F79-803E-A948AC7EE94F}" name="Rob" dataDxfId="99"/>
    <tableColumn id="87" xr3:uid="{B8751729-CAF0-4D99-B610-E9CCCC90EC63}" name="Rob/90" dataDxfId="98"/>
    <tableColumn id="88" xr3:uid="{A26E490A-C96C-470A-9D59-5D1F8D87F7FC}" name="Pres Int" dataDxfId="97"/>
    <tableColumn id="89" xr3:uid="{1E8C6F49-7C34-44ED-B406-D36B91B9A040}" name="Pres I/90" dataDxfId="96"/>
    <tableColumn id="90" xr3:uid="{2B3151C7-6B43-426E-A4E5-E5D347E6B202}" name="Pres C" dataDxfId="95"/>
    <tableColumn id="91" xr3:uid="{7A240E62-4E1C-447A-99F9-9849D6233598}" name="Pres C/90" dataDxfId="94"/>
    <tableColumn id="92" xr3:uid="{9796049C-6796-41ED-B850-533889A1FA0C}" name="Pos Perd/90" dataDxfId="93"/>
    <tableColumn id="93" xr3:uid="{FCC97FAD-1879-47BF-A753-C95E12D47E07}" name="Pos Gan/90" dataDxfId="92"/>
    <tableColumn id="94" xr3:uid="{34AE7EA4-DF02-4ADE-8FE4-13E3BE590BD6}" name="Desp" dataDxfId="91"/>
    <tableColumn id="95" xr3:uid="{B10D9E6D-A1A9-4B10-925F-C0729340625E}" name="Desp/90" dataDxfId="90"/>
    <tableColumn id="96" xr3:uid="{51BB9405-9ACF-40E4-B2E0-5194508E7582}" name="FC" dataDxfId="89"/>
    <tableColumn id="97" xr3:uid="{C5D0229A-EC63-4D4B-8C2C-71B219B54DFF}" name="Ama" dataDxfId="88"/>
    <tableColumn id="98" xr3:uid="{0B7682F8-463F-4908-91C7-5AF060F3A76D}" name="Roj." dataDxfId="87"/>
    <tableColumn id="99" xr3:uid="{739F0B73-AE6E-49CD-BFA2-4948CCD2F1D1}" name="Gl Err" dataDxfId="86"/>
    <tableColumn id="103" xr3:uid="{DB7DE47E-8680-4F07-BC73-4A1F41C2627D}" name="Rec" dataDxfId="85"/>
    <tableColumn id="104" xr3:uid="{B8BF1A43-53BD-4318-931B-A556E9063DC9}" name="Rech/90" dataDxfId="84"/>
    <tableColumn id="107" xr3:uid="{0531AC17-DD59-4FC5-B2E5-A4A63B179051}" name="EnEq/90" dataDxfId="83"/>
    <tableColumn id="117" xr3:uid="{62BF1C17-0127-4064-A0B7-844F56C7B306}" name="Inf" dataDxfId="8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43BA4D-74F7-4AFD-8699-DF7E9081CCE5}" name="Data" displayName="Data" ref="B2:AZ28" totalsRowShown="0" headerRowDxfId="81" dataDxfId="79" headerRowBorderDxfId="80" tableBorderDxfId="78" totalsRowBorderDxfId="77">
  <autoFilter ref="B2:AZ28" xr:uid="{9A43BA4D-74F7-4AFD-8699-DF7E9081CCE5}"/>
  <sortState xmlns:xlrd2="http://schemas.microsoft.com/office/spreadsheetml/2017/richdata2" ref="B3:AZ28">
    <sortCondition ref="B3:B28"/>
  </sortState>
  <tableColumns count="51">
    <tableColumn id="1" xr3:uid="{7ED05692-4D24-4E4D-B7B0-038F25EF6360}" name="Nombre" dataDxfId="76"/>
    <tableColumn id="2" xr3:uid="{8293BD02-B47D-432D-86F5-F4C27667311A}" name="Altura" dataDxfId="75"/>
    <tableColumn id="3" xr3:uid="{C77AC528-F1B0-4F69-99E1-2187F43FFD0C}" name="Peso" dataDxfId="74"/>
    <tableColumn id="4" xr3:uid="{75623277-2DA8-46F2-93B8-7C692617B7EA}" name="Final" dataDxfId="73"/>
    <tableColumn id="5" xr3:uid="{8A664082-37EB-4B2D-BCD6-046AA7F7768E}" name="Sueldo" dataDxfId="72"/>
    <tableColumn id="6" xr3:uid="{8C9F1676-1E07-4A9C-A7F3-B313E5D95F6E}" name="Min" dataDxfId="71"/>
    <tableColumn id="7" xr3:uid="{3CA26007-1D22-4FB6-951D-EE29A5EADF13}" name="Part" dataDxfId="70"/>
    <tableColumn id="8" xr3:uid="{3FAB79F4-A57B-48A9-BF59-0151ED914655}" name="Dist/90" dataDxfId="69"/>
    <tableColumn id="9" xr3:uid="{C6FA36F5-D281-4F09-A581-667427827220}" name="Media" dataDxfId="68"/>
    <tableColumn id="10" xr3:uid="{E89409DA-A9D0-457B-8ABD-E1C1C071E2F3}" name="Ps I/90" dataDxfId="67"/>
    <tableColumn id="11" xr3:uid="{B85FB251-8EA9-4082-9528-26DE50B6B94A}" name="Ps C/90" dataDxfId="66"/>
    <tableColumn id="12" xr3:uid="{32B84E65-67BE-425C-85E5-E1FF528AE49E}" name="Pases prog/90" dataDxfId="65"/>
    <tableColumn id="13" xr3:uid="{C4EBAA78-4616-4374-9264-CDEF4B5FC485}" name="Pas Clv/90" dataDxfId="64"/>
    <tableColumn id="14" xr3:uid="{CEA44A1F-A513-4536-9F8B-3E26A7416DCF}" name="P Clv- J Ab" dataDxfId="63"/>
    <tableColumn id="15" xr3:uid="{2AC7995B-EB52-420F-B0DB-341FC724BB12}" name="P Clv-J Ab/90" dataDxfId="62"/>
    <tableColumn id="16" xr3:uid="{D8724B8A-51E1-4FF2-9C5A-D74B3F2F81C4}" name="% Pase" dataDxfId="61"/>
    <tableColumn id="17" xr3:uid="{DEDF97C7-4292-48A2-87AC-21E343E2B80D}" name="TirP/90" dataDxfId="60"/>
    <tableColumn id="18" xr3:uid="{8E59BED9-F113-401A-8D68-433013E2C19C}" name="Gol" dataDxfId="59"/>
    <tableColumn id="19" xr3:uid="{BF6D652F-8C29-492A-8D94-F14094A6E900}" name="Reg" dataDxfId="58"/>
    <tableColumn id="20" xr3:uid="{A48C74FC-92CE-463E-843F-255B5A3A85B8}" name="Reg/90" dataDxfId="57"/>
    <tableColumn id="21" xr3:uid="{96A9B6BE-7FEA-48AB-88D9-03AE7A872EA0}" name="FR" dataDxfId="56"/>
    <tableColumn id="22" xr3:uid="{04FABF40-5D9D-49E6-A387-52BCD834216F}" name="Cab Int" dataDxfId="55"/>
    <tableColumn id="23" xr3:uid="{19F2317E-CF1C-4A62-8654-A53C72A85992}" name="Bal aér/90" dataDxfId="54"/>
    <tableColumn id="24" xr3:uid="{DF982935-8BF1-41B6-BCF3-F47D44B1B707}" name="Cab" dataDxfId="53"/>
    <tableColumn id="25" xr3:uid="{615E435E-CE1E-41E5-9234-09BE305AA4E7}" name="Cab G/90" dataDxfId="52"/>
    <tableColumn id="26" xr3:uid="{9CA19433-D2AE-4B76-A930-B2AE68BF7EA4}" name="Cab Clv/90" dataDxfId="51"/>
    <tableColumn id="27" xr3:uid="{5342E464-057A-43C1-B6EB-A3F33D2D9687}" name="Rcg %" dataDxfId="50"/>
    <tableColumn id="28" xr3:uid="{323F4AC2-6F29-43B5-B1E2-8A9C1825F6DF}" name="Ent I" dataDxfId="49"/>
    <tableColumn id="29" xr3:uid="{9C372ED1-74C8-4633-807F-C841A303E416}" name="Entr/90" dataDxfId="48"/>
    <tableColumn id="30" xr3:uid="{FF8D5441-A2A7-481F-9894-1D941806E69E}" name="Ent G" dataDxfId="47"/>
    <tableColumn id="31" xr3:uid="{F08F3FAD-76D8-4FCF-B585-08D4BE4ED003}" name="Ent Cl" dataDxfId="46"/>
    <tableColumn id="32" xr3:uid="{265BC13D-5060-4F39-8C81-CE8B90B2D8D5}" name="Ent Clv/90" dataDxfId="45"/>
    <tableColumn id="33" xr3:uid="{72DC5E0B-9546-4243-A005-7225E07C8F94}" name="Ent P" dataDxfId="44"/>
    <tableColumn id="34" xr3:uid="{6C5D22EF-AF16-49BD-9992-68A3F9798458}" name="Rob" dataDxfId="43"/>
    <tableColumn id="35" xr3:uid="{C6922E79-EB64-40F6-8AF5-F51C645BD70D}" name="Rob/90" dataDxfId="42"/>
    <tableColumn id="36" xr3:uid="{00E2134D-A75C-45F7-89AA-247B9FEC64D4}" name="Pres Int" dataDxfId="41"/>
    <tableColumn id="37" xr3:uid="{B8BDABC8-3DFE-4D54-B4C1-E5F0032C0551}" name="Pres I/90" dataDxfId="40"/>
    <tableColumn id="38" xr3:uid="{F8A7D76D-03FD-4009-9A60-8A39EDE39E05}" name="Pres C" dataDxfId="39"/>
    <tableColumn id="39" xr3:uid="{7A85EF14-DF24-47BB-94DC-07F739666D23}" name="Pres C/90" dataDxfId="38"/>
    <tableColumn id="40" xr3:uid="{DE61E473-93B5-47FF-B18A-03A628A59DF6}" name="Pos Perd/90" dataDxfId="37"/>
    <tableColumn id="41" xr3:uid="{E53546A7-0137-49AC-B92C-069DC8AA1C74}" name="Pos Gan/90" dataDxfId="36"/>
    <tableColumn id="51" xr3:uid="{440FE848-3283-4A77-802A-FD70A14BC165}" name="Pos Gan/Per /90" dataDxfId="35" dataCellStyle="Porcentaje">
      <calculatedColumnFormula>Data[[#This Row],[Pos Gan/90]]/Data[[#This Row],[Pos Perd/90]]</calculatedColumnFormula>
    </tableColumn>
    <tableColumn id="42" xr3:uid="{29CD7184-978B-4D8C-8A4E-F94A40C4DBE8}" name="Desp" dataDxfId="34"/>
    <tableColumn id="43" xr3:uid="{7B118BD4-60E1-4CFF-96D7-6E2834497D9F}" name="Desp/90" dataDxfId="33"/>
    <tableColumn id="44" xr3:uid="{931C7745-3B5D-4B4A-A4F5-40CEFDA45ABF}" name="FC" dataDxfId="32"/>
    <tableColumn id="45" xr3:uid="{77F1F929-454E-4538-9C2B-91C11D3F247C}" name="Ama" dataDxfId="31"/>
    <tableColumn id="46" xr3:uid="{776BB923-5470-4CA9-A08C-E8D43C610755}" name="Roj." dataDxfId="30"/>
    <tableColumn id="47" xr3:uid="{24D84BAE-488E-470A-96E9-49B8B13A064D}" name="Gl Err" dataDxfId="29"/>
    <tableColumn id="48" xr3:uid="{C570B033-C9C6-42B1-B86A-1AC186F6CCF8}" name="Rec" dataDxfId="28"/>
    <tableColumn id="49" xr3:uid="{42C1D7C1-9A41-43CB-B9F7-66A2D608A71A}" name="Rech/90" dataDxfId="27"/>
    <tableColumn id="50" xr3:uid="{F3900949-47F2-4383-9E81-28C7F8F364DD}" name="EnEq/90" dataDxfId="26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E185C26-F677-4DA4-AE7C-8062D5946D64}">
  <we:reference id="wa200001584" version="2.8.1.5" store="es-ES" storeType="OMEX"/>
  <we:alternateReferences>
    <we:reference id="WA200001584" version="2.8.1.5" store="WA20000158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sigames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drawing" Target="../drawings/drawing4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P29"/>
  <sheetViews>
    <sheetView showGridLines="0" topLeftCell="C1" workbookViewId="0">
      <selection activeCell="C49" sqref="C49"/>
    </sheetView>
  </sheetViews>
  <sheetFormatPr baseColWidth="10" defaultRowHeight="11.25" x14ac:dyDescent="0.15"/>
  <cols>
    <col min="1" max="1" width="12.42578125" style="1" bestFit="1" customWidth="1"/>
    <col min="2" max="2" width="19.7109375" style="1" bestFit="1" customWidth="1"/>
    <col min="3" max="3" width="33.85546875" style="1" bestFit="1" customWidth="1"/>
    <col min="4" max="4" width="40" style="1" bestFit="1" customWidth="1"/>
    <col min="5" max="5" width="21.7109375" style="1" bestFit="1" customWidth="1"/>
    <col min="6" max="6" width="9.42578125" style="1" bestFit="1" customWidth="1"/>
    <col min="7" max="7" width="12.28515625" style="1" bestFit="1" customWidth="1"/>
    <col min="8" max="8" width="13.7109375" style="1" bestFit="1" customWidth="1"/>
    <col min="9" max="9" width="10.42578125" style="1" bestFit="1" customWidth="1"/>
    <col min="10" max="10" width="11.5703125" style="1" bestFit="1" customWidth="1"/>
    <col min="11" max="11" width="10.42578125" style="1" bestFit="1" customWidth="1"/>
    <col min="12" max="12" width="11.5703125" style="1" bestFit="1" customWidth="1"/>
    <col min="13" max="13" width="15.42578125" style="1" bestFit="1" customWidth="1"/>
    <col min="14" max="14" width="9.140625" style="1" bestFit="1" customWidth="1"/>
    <col min="15" max="15" width="13.5703125" style="1" bestFit="1" customWidth="1"/>
    <col min="16" max="16" width="9.85546875" style="1" bestFit="1" customWidth="1"/>
    <col min="17" max="17" width="14.5703125" style="1" bestFit="1" customWidth="1"/>
    <col min="18" max="18" width="13.28515625" style="1" bestFit="1" customWidth="1"/>
    <col min="19" max="19" width="17.140625" style="1" bestFit="1" customWidth="1"/>
    <col min="20" max="20" width="11.42578125" style="1" bestFit="1" customWidth="1"/>
    <col min="21" max="21" width="10.140625" style="1" bestFit="1" customWidth="1"/>
    <col min="22" max="22" width="10.7109375" style="1" bestFit="1" customWidth="1"/>
    <col min="23" max="23" width="13.28515625" style="1" bestFit="1" customWidth="1"/>
    <col min="24" max="24" width="11.140625" style="1" bestFit="1" customWidth="1"/>
    <col min="25" max="25" width="13.7109375" style="1" bestFit="1" customWidth="1"/>
    <col min="26" max="26" width="20" style="1" bestFit="1" customWidth="1"/>
    <col min="27" max="27" width="16.28515625" style="1" bestFit="1" customWidth="1"/>
    <col min="28" max="28" width="11.7109375" style="1" bestFit="1" customWidth="1"/>
    <col min="29" max="29" width="16.5703125" style="1" bestFit="1" customWidth="1"/>
    <col min="30" max="30" width="16.140625" style="1" bestFit="1" customWidth="1"/>
    <col min="31" max="31" width="19.28515625" style="1" bestFit="1" customWidth="1"/>
    <col min="32" max="32" width="13.140625" style="1" bestFit="1" customWidth="1"/>
    <col min="33" max="33" width="9.7109375" style="1" bestFit="1" customWidth="1"/>
    <col min="34" max="34" width="13.42578125" style="1" bestFit="1" customWidth="1"/>
    <col min="35" max="35" width="8.28515625" style="1" bestFit="1" customWidth="1"/>
    <col min="36" max="36" width="13.5703125" style="1" bestFit="1" customWidth="1"/>
    <col min="37" max="37" width="14.140625" style="1" bestFit="1" customWidth="1"/>
    <col min="38" max="38" width="12.140625" style="1" bestFit="1" customWidth="1"/>
    <col min="39" max="39" width="9.42578125" style="1" bestFit="1" customWidth="1"/>
    <col min="40" max="40" width="13.42578125" style="1" bestFit="1" customWidth="1"/>
    <col min="41" max="41" width="16.5703125" style="1" bestFit="1" customWidth="1"/>
    <col min="42" max="42" width="10.140625" style="1" bestFit="1" customWidth="1"/>
    <col min="43" max="43" width="14" style="1" bestFit="1" customWidth="1"/>
    <col min="44" max="44" width="13" style="1" bestFit="1" customWidth="1"/>
    <col min="45" max="45" width="8.42578125" style="1" bestFit="1" customWidth="1"/>
    <col min="46" max="46" width="16.5703125" style="1" bestFit="1" customWidth="1"/>
    <col min="47" max="47" width="9" style="1" bestFit="1" customWidth="1"/>
    <col min="48" max="48" width="12.7109375" style="1" bestFit="1" customWidth="1"/>
    <col min="49" max="49" width="12.28515625" style="1" bestFit="1" customWidth="1"/>
    <col min="50" max="50" width="12.140625" style="1" bestFit="1" customWidth="1"/>
    <col min="51" max="51" width="12.42578125" style="1" bestFit="1" customWidth="1"/>
    <col min="52" max="52" width="16.28515625" style="1" bestFit="1" customWidth="1"/>
    <col min="53" max="53" width="12.5703125" style="1" bestFit="1" customWidth="1"/>
    <col min="54" max="54" width="10.140625" style="1" bestFit="1" customWidth="1"/>
    <col min="55" max="55" width="13.85546875" style="1" bestFit="1" customWidth="1"/>
    <col min="56" max="56" width="12" style="1" bestFit="1" customWidth="1"/>
    <col min="57" max="57" width="14.5703125" style="1" bestFit="1" customWidth="1"/>
    <col min="58" max="58" width="14.140625" style="1" bestFit="1" customWidth="1"/>
    <col min="59" max="59" width="15" style="1" bestFit="1" customWidth="1"/>
    <col min="60" max="60" width="13.28515625" style="1" bestFit="1" customWidth="1"/>
    <col min="61" max="61" width="9.42578125" style="1" bestFit="1" customWidth="1"/>
    <col min="62" max="62" width="13.140625" style="1" bestFit="1" customWidth="1"/>
    <col min="63" max="63" width="8.28515625" style="1" bestFit="1" customWidth="1"/>
    <col min="64" max="64" width="8.85546875" style="1" bestFit="1" customWidth="1"/>
    <col min="65" max="65" width="12.7109375" style="1" bestFit="1" customWidth="1"/>
    <col min="66" max="66" width="16.28515625" style="1" bestFit="1" customWidth="1"/>
    <col min="67" max="67" width="9.42578125" style="1" bestFit="1" customWidth="1"/>
    <col min="68" max="68" width="15.140625" style="1" bestFit="1" customWidth="1"/>
    <col min="69" max="69" width="16.7109375" style="1" bestFit="1" customWidth="1"/>
    <col min="70" max="70" width="12" style="1" bestFit="1" customWidth="1"/>
    <col min="71" max="71" width="10.28515625" style="1" bestFit="1" customWidth="1"/>
    <col min="72" max="72" width="13.42578125" style="1" bestFit="1" customWidth="1"/>
    <col min="73" max="73" width="10.85546875" style="1" bestFit="1" customWidth="1"/>
    <col min="74" max="74" width="11.28515625" style="1" bestFit="1" customWidth="1"/>
    <col min="75" max="75" width="16.140625" style="1" bestFit="1" customWidth="1"/>
    <col min="76" max="76" width="10.7109375" style="1" bestFit="1" customWidth="1"/>
    <col min="77" max="77" width="9.42578125" style="1" bestFit="1" customWidth="1"/>
    <col min="78" max="78" width="13.140625" style="1" bestFit="1" customWidth="1"/>
    <col min="79" max="79" width="13.42578125" style="1" bestFit="1" customWidth="1"/>
    <col min="80" max="80" width="15.28515625" style="1" bestFit="1" customWidth="1"/>
    <col min="81" max="81" width="12" style="1" bestFit="1" customWidth="1"/>
    <col min="82" max="82" width="15.7109375" style="1" bestFit="1" customWidth="1"/>
    <col min="83" max="83" width="18" style="1" bestFit="1" customWidth="1"/>
    <col min="84" max="84" width="17.28515625" style="1" bestFit="1" customWidth="1"/>
    <col min="85" max="85" width="10.5703125" style="1" bestFit="1" customWidth="1"/>
    <col min="86" max="86" width="14.28515625" style="1" bestFit="1" customWidth="1"/>
    <col min="87" max="87" width="8.28515625" style="1" bestFit="1" customWidth="1"/>
    <col min="88" max="88" width="10" style="1" bestFit="1" customWidth="1"/>
    <col min="89" max="89" width="9.5703125" style="1" bestFit="1" customWidth="1"/>
    <col min="90" max="90" width="11.28515625" style="1" bestFit="1" customWidth="1"/>
    <col min="91" max="91" width="9.28515625" style="1" bestFit="1" customWidth="1"/>
    <col min="92" max="93" width="14.140625" style="1" bestFit="1" customWidth="1"/>
    <col min="94" max="94" width="8.5703125" style="1" bestFit="1" customWidth="1"/>
    <col min="95" max="16384" width="11.42578125" style="1"/>
  </cols>
  <sheetData>
    <row r="1" spans="1:94" ht="12" thickBot="1" x14ac:dyDescent="0.2">
      <c r="A1" s="9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0" t="s">
        <v>17</v>
      </c>
      <c r="S1" s="10" t="s">
        <v>18</v>
      </c>
      <c r="T1" s="10" t="s">
        <v>19</v>
      </c>
      <c r="U1" s="10" t="s">
        <v>20</v>
      </c>
      <c r="V1" s="10" t="s">
        <v>21</v>
      </c>
      <c r="W1" s="10" t="s">
        <v>22</v>
      </c>
      <c r="X1" s="10" t="s">
        <v>23</v>
      </c>
      <c r="Y1" s="10" t="s">
        <v>24</v>
      </c>
      <c r="Z1" s="10" t="s">
        <v>25</v>
      </c>
      <c r="AA1" s="10" t="s">
        <v>26</v>
      </c>
      <c r="AB1" s="10" t="s">
        <v>27</v>
      </c>
      <c r="AC1" s="10" t="s">
        <v>28</v>
      </c>
      <c r="AD1" s="10" t="s">
        <v>29</v>
      </c>
      <c r="AE1" s="10" t="s">
        <v>30</v>
      </c>
      <c r="AF1" s="10" t="s">
        <v>31</v>
      </c>
      <c r="AG1" s="10" t="s">
        <v>32</v>
      </c>
      <c r="AH1" s="10" t="s">
        <v>33</v>
      </c>
      <c r="AI1" s="10" t="s">
        <v>34</v>
      </c>
      <c r="AJ1" s="10" t="s">
        <v>35</v>
      </c>
      <c r="AK1" s="10" t="s">
        <v>36</v>
      </c>
      <c r="AL1" s="10" t="s">
        <v>37</v>
      </c>
      <c r="AM1" s="10" t="s">
        <v>38</v>
      </c>
      <c r="AN1" s="10" t="s">
        <v>39</v>
      </c>
      <c r="AO1" s="10" t="s">
        <v>40</v>
      </c>
      <c r="AP1" s="10" t="s">
        <v>41</v>
      </c>
      <c r="AQ1" s="10" t="s">
        <v>42</v>
      </c>
      <c r="AR1" s="10" t="s">
        <v>43</v>
      </c>
      <c r="AS1" s="10" t="s">
        <v>44</v>
      </c>
      <c r="AT1" s="10" t="s">
        <v>45</v>
      </c>
      <c r="AU1" s="10" t="s">
        <v>46</v>
      </c>
      <c r="AV1" s="10" t="s">
        <v>47</v>
      </c>
      <c r="AW1" s="10" t="s">
        <v>48</v>
      </c>
      <c r="AX1" s="10" t="s">
        <v>49</v>
      </c>
      <c r="AY1" s="10" t="s">
        <v>50</v>
      </c>
      <c r="AZ1" s="10" t="s">
        <v>51</v>
      </c>
      <c r="BA1" s="10" t="s">
        <v>52</v>
      </c>
      <c r="BB1" s="10" t="s">
        <v>53</v>
      </c>
      <c r="BC1" s="10" t="s">
        <v>54</v>
      </c>
      <c r="BD1" s="10" t="s">
        <v>55</v>
      </c>
      <c r="BE1" s="10" t="s">
        <v>56</v>
      </c>
      <c r="BF1" s="10" t="s">
        <v>57</v>
      </c>
      <c r="BG1" s="10" t="s">
        <v>58</v>
      </c>
      <c r="BH1" s="10" t="s">
        <v>59</v>
      </c>
      <c r="BI1" s="10" t="s">
        <v>60</v>
      </c>
      <c r="BJ1" s="10" t="s">
        <v>61</v>
      </c>
      <c r="BK1" s="10" t="s">
        <v>62</v>
      </c>
      <c r="BL1" s="10" t="s">
        <v>63</v>
      </c>
      <c r="BM1" s="10" t="s">
        <v>64</v>
      </c>
      <c r="BN1" s="10" t="s">
        <v>65</v>
      </c>
      <c r="BO1" s="10" t="s">
        <v>66</v>
      </c>
      <c r="BP1" s="10" t="s">
        <v>67</v>
      </c>
      <c r="BQ1" s="10" t="s">
        <v>68</v>
      </c>
      <c r="BR1" s="10" t="s">
        <v>69</v>
      </c>
      <c r="BS1" s="10" t="s">
        <v>70</v>
      </c>
      <c r="BT1" s="10" t="s">
        <v>71</v>
      </c>
      <c r="BU1" s="10" t="s">
        <v>72</v>
      </c>
      <c r="BV1" s="10" t="s">
        <v>73</v>
      </c>
      <c r="BW1" s="10" t="s">
        <v>74</v>
      </c>
      <c r="BX1" s="10" t="s">
        <v>75</v>
      </c>
      <c r="BY1" s="10" t="s">
        <v>76</v>
      </c>
      <c r="BZ1" s="10" t="s">
        <v>77</v>
      </c>
      <c r="CA1" s="10" t="s">
        <v>78</v>
      </c>
      <c r="CB1" s="10" t="s">
        <v>79</v>
      </c>
      <c r="CC1" s="10" t="s">
        <v>80</v>
      </c>
      <c r="CD1" s="10" t="s">
        <v>81</v>
      </c>
      <c r="CE1" s="10" t="s">
        <v>82</v>
      </c>
      <c r="CF1" s="10" t="s">
        <v>83</v>
      </c>
      <c r="CG1" s="10" t="s">
        <v>84</v>
      </c>
      <c r="CH1" s="10" t="s">
        <v>85</v>
      </c>
      <c r="CI1" s="10" t="s">
        <v>86</v>
      </c>
      <c r="CJ1" s="10" t="s">
        <v>87</v>
      </c>
      <c r="CK1" s="10" t="s">
        <v>88</v>
      </c>
      <c r="CL1" s="10" t="s">
        <v>89</v>
      </c>
      <c r="CM1" s="10" t="s">
        <v>90</v>
      </c>
      <c r="CN1" s="10" t="s">
        <v>91</v>
      </c>
      <c r="CO1" s="10" t="s">
        <v>92</v>
      </c>
      <c r="CP1" s="10" t="s">
        <v>93</v>
      </c>
    </row>
    <row r="2" spans="1:94" ht="12" thickBot="1" x14ac:dyDescent="0.2">
      <c r="A2" s="7">
        <v>91107789</v>
      </c>
      <c r="B2" s="2" t="s">
        <v>94</v>
      </c>
      <c r="C2" s="2" t="s">
        <v>95</v>
      </c>
      <c r="D2" s="2" t="s">
        <v>96</v>
      </c>
      <c r="E2" s="2" t="s">
        <v>97</v>
      </c>
      <c r="F2" s="2" t="s">
        <v>98</v>
      </c>
      <c r="G2" s="2"/>
      <c r="H2" s="2" t="s">
        <v>99</v>
      </c>
      <c r="I2" s="2">
        <v>30</v>
      </c>
      <c r="J2" s="2" t="s">
        <v>100</v>
      </c>
      <c r="K2" s="2" t="s">
        <v>101</v>
      </c>
      <c r="L2" s="3">
        <v>46203</v>
      </c>
      <c r="M2" s="2" t="s">
        <v>103</v>
      </c>
      <c r="N2" s="4">
        <v>2750</v>
      </c>
      <c r="O2" s="2">
        <v>88.71</v>
      </c>
      <c r="P2" s="2">
        <v>31</v>
      </c>
      <c r="Q2" s="2" t="s">
        <v>104</v>
      </c>
      <c r="R2" s="2" t="s">
        <v>105</v>
      </c>
      <c r="S2" s="2">
        <v>4.78</v>
      </c>
      <c r="T2" s="2">
        <v>7.01</v>
      </c>
      <c r="U2" s="2">
        <v>0</v>
      </c>
      <c r="V2" s="4">
        <v>2310</v>
      </c>
      <c r="W2" s="2">
        <v>75.599999999999994</v>
      </c>
      <c r="X2" s="4">
        <v>2088</v>
      </c>
      <c r="Y2" s="2">
        <v>68.33</v>
      </c>
      <c r="Z2" s="2">
        <v>4.16</v>
      </c>
      <c r="AA2" s="2">
        <v>127</v>
      </c>
      <c r="AB2" s="2">
        <v>8</v>
      </c>
      <c r="AC2" s="2">
        <v>0.26</v>
      </c>
      <c r="AD2" s="2">
        <v>8</v>
      </c>
      <c r="AE2" s="2">
        <v>0.26</v>
      </c>
      <c r="AF2" s="5">
        <v>0.9</v>
      </c>
      <c r="AG2" s="2">
        <v>1</v>
      </c>
      <c r="AH2" s="2">
        <v>0.03</v>
      </c>
      <c r="AI2" s="2">
        <v>0.94</v>
      </c>
      <c r="AJ2" s="2">
        <v>0.03</v>
      </c>
      <c r="AK2" s="2">
        <v>6</v>
      </c>
      <c r="AL2" s="2">
        <v>0.2</v>
      </c>
      <c r="AM2" s="2">
        <v>0</v>
      </c>
      <c r="AN2" s="2">
        <v>0</v>
      </c>
      <c r="AO2" s="5">
        <v>0</v>
      </c>
      <c r="AP2" s="2">
        <v>2</v>
      </c>
      <c r="AQ2" s="2">
        <v>7.0000000000000007E-2</v>
      </c>
      <c r="AR2" s="2" t="s">
        <v>102</v>
      </c>
      <c r="AS2" s="2">
        <v>0.68</v>
      </c>
      <c r="AT2" s="2">
        <v>0.11</v>
      </c>
      <c r="AU2" s="2">
        <v>0</v>
      </c>
      <c r="AV2" s="2" t="s">
        <v>102</v>
      </c>
      <c r="AW2" s="2" t="s">
        <v>102</v>
      </c>
      <c r="AX2" s="2">
        <v>0.02</v>
      </c>
      <c r="AY2" s="2">
        <v>0.68</v>
      </c>
      <c r="AZ2" s="2">
        <v>0.02</v>
      </c>
      <c r="BA2" s="2">
        <v>-0.68</v>
      </c>
      <c r="BB2" s="2">
        <v>40</v>
      </c>
      <c r="BC2" s="2">
        <v>1.31</v>
      </c>
      <c r="BD2" s="2">
        <v>0</v>
      </c>
      <c r="BE2" s="2">
        <v>0</v>
      </c>
      <c r="BF2" s="2">
        <v>0</v>
      </c>
      <c r="BG2" s="2">
        <v>0</v>
      </c>
      <c r="BH2" s="5">
        <v>0</v>
      </c>
      <c r="BI2" s="2">
        <v>5</v>
      </c>
      <c r="BJ2" s="2">
        <v>0.16</v>
      </c>
      <c r="BK2" s="2">
        <v>9</v>
      </c>
      <c r="BL2" s="2">
        <v>0</v>
      </c>
      <c r="BM2" s="2">
        <v>272</v>
      </c>
      <c r="BN2" s="2">
        <v>8.9</v>
      </c>
      <c r="BO2" s="2">
        <v>212</v>
      </c>
      <c r="BP2" s="2">
        <v>6.94</v>
      </c>
      <c r="BQ2" s="2">
        <v>0.82</v>
      </c>
      <c r="BR2" s="5">
        <v>0.78</v>
      </c>
      <c r="BS2" s="2">
        <v>34</v>
      </c>
      <c r="BT2" s="2">
        <v>0.92</v>
      </c>
      <c r="BU2" s="2">
        <v>28</v>
      </c>
      <c r="BV2" s="2">
        <v>6</v>
      </c>
      <c r="BW2" s="2">
        <v>0.2</v>
      </c>
      <c r="BX2" s="5">
        <v>0.82</v>
      </c>
      <c r="BY2" s="2">
        <v>90</v>
      </c>
      <c r="BZ2" s="2">
        <v>2.95</v>
      </c>
      <c r="CA2" s="2">
        <v>101</v>
      </c>
      <c r="CB2" s="2">
        <v>3.31</v>
      </c>
      <c r="CC2" s="2">
        <v>40</v>
      </c>
      <c r="CD2" s="2">
        <v>1.31</v>
      </c>
      <c r="CE2" s="2">
        <v>3.14</v>
      </c>
      <c r="CF2" s="2">
        <v>19.34</v>
      </c>
      <c r="CG2" s="2">
        <v>25</v>
      </c>
      <c r="CH2" s="2">
        <v>0.82</v>
      </c>
      <c r="CI2" s="2">
        <v>22</v>
      </c>
      <c r="CJ2" s="2">
        <v>0</v>
      </c>
      <c r="CK2" s="2">
        <v>0</v>
      </c>
      <c r="CL2" s="2">
        <v>1</v>
      </c>
      <c r="CM2" s="2">
        <v>17</v>
      </c>
      <c r="CN2" s="2">
        <v>0.56000000000000005</v>
      </c>
      <c r="CO2" s="2">
        <v>1.44</v>
      </c>
      <c r="CP2" s="2"/>
    </row>
    <row r="3" spans="1:94" ht="12" thickBot="1" x14ac:dyDescent="0.2">
      <c r="A3" s="7">
        <v>91175664</v>
      </c>
      <c r="B3" s="2" t="s">
        <v>106</v>
      </c>
      <c r="C3" s="2" t="s">
        <v>95</v>
      </c>
      <c r="D3" s="2" t="s">
        <v>96</v>
      </c>
      <c r="E3" s="2" t="s">
        <v>107</v>
      </c>
      <c r="F3" s="2" t="s">
        <v>108</v>
      </c>
      <c r="G3" s="2" t="s">
        <v>98</v>
      </c>
      <c r="H3" s="2" t="s">
        <v>99</v>
      </c>
      <c r="I3" s="2">
        <v>26</v>
      </c>
      <c r="J3" s="2" t="s">
        <v>109</v>
      </c>
      <c r="K3" s="2" t="s">
        <v>110</v>
      </c>
      <c r="L3" s="3">
        <v>45473</v>
      </c>
      <c r="M3" s="2" t="s">
        <v>111</v>
      </c>
      <c r="N3" s="2">
        <v>160</v>
      </c>
      <c r="O3" s="2">
        <v>53.33</v>
      </c>
      <c r="P3" s="2" t="s">
        <v>112</v>
      </c>
      <c r="Q3" s="2" t="s">
        <v>113</v>
      </c>
      <c r="R3" s="2" t="s">
        <v>114</v>
      </c>
      <c r="S3" s="2">
        <v>5.0599999999999996</v>
      </c>
      <c r="T3" s="2">
        <v>6.33</v>
      </c>
      <c r="U3" s="2">
        <v>0</v>
      </c>
      <c r="V3" s="2">
        <v>111</v>
      </c>
      <c r="W3" s="2">
        <v>62.44</v>
      </c>
      <c r="X3" s="2">
        <v>106</v>
      </c>
      <c r="Y3" s="2">
        <v>59.62</v>
      </c>
      <c r="Z3" s="2">
        <v>4.5</v>
      </c>
      <c r="AA3" s="2">
        <v>8</v>
      </c>
      <c r="AB3" s="2">
        <v>0</v>
      </c>
      <c r="AC3" s="2" t="s">
        <v>102</v>
      </c>
      <c r="AD3" s="2">
        <v>0</v>
      </c>
      <c r="AE3" s="2">
        <v>0</v>
      </c>
      <c r="AF3" s="5">
        <v>0.95</v>
      </c>
      <c r="AG3" s="2">
        <v>0</v>
      </c>
      <c r="AH3" s="2" t="s">
        <v>102</v>
      </c>
      <c r="AI3" s="2">
        <v>0.26</v>
      </c>
      <c r="AJ3" s="2">
        <v>0.15</v>
      </c>
      <c r="AK3" s="2">
        <v>0</v>
      </c>
      <c r="AL3" s="2" t="s">
        <v>102</v>
      </c>
      <c r="AM3" s="2" t="s">
        <v>102</v>
      </c>
      <c r="AN3" s="2" t="s">
        <v>102</v>
      </c>
      <c r="AO3" s="2" t="s">
        <v>102</v>
      </c>
      <c r="AP3" s="2">
        <v>0</v>
      </c>
      <c r="AQ3" s="2" t="s">
        <v>102</v>
      </c>
      <c r="AR3" s="2" t="s">
        <v>102</v>
      </c>
      <c r="AS3" s="2">
        <v>0</v>
      </c>
      <c r="AT3" s="2">
        <v>0</v>
      </c>
      <c r="AU3" s="2">
        <v>0</v>
      </c>
      <c r="AV3" s="2" t="s">
        <v>102</v>
      </c>
      <c r="AW3" s="2" t="s">
        <v>102</v>
      </c>
      <c r="AX3" s="2">
        <v>0</v>
      </c>
      <c r="AY3" s="2">
        <v>0</v>
      </c>
      <c r="AZ3" s="2">
        <v>0</v>
      </c>
      <c r="BA3" s="2">
        <v>0</v>
      </c>
      <c r="BB3" s="2">
        <v>4</v>
      </c>
      <c r="BC3" s="2">
        <v>2.25</v>
      </c>
      <c r="BD3" s="2">
        <v>1</v>
      </c>
      <c r="BE3" s="2">
        <v>0.56000000000000005</v>
      </c>
      <c r="BF3" s="2">
        <v>0</v>
      </c>
      <c r="BG3" s="2">
        <v>0</v>
      </c>
      <c r="BH3" s="5">
        <v>0</v>
      </c>
      <c r="BI3" s="2">
        <v>1</v>
      </c>
      <c r="BJ3" s="2">
        <v>0.56000000000000005</v>
      </c>
      <c r="BK3" s="2">
        <v>1</v>
      </c>
      <c r="BL3" s="2">
        <v>0</v>
      </c>
      <c r="BM3" s="2">
        <v>16</v>
      </c>
      <c r="BN3" s="2">
        <v>9</v>
      </c>
      <c r="BO3" s="2">
        <v>12</v>
      </c>
      <c r="BP3" s="2">
        <v>6.75</v>
      </c>
      <c r="BQ3" s="2">
        <v>0</v>
      </c>
      <c r="BR3" s="5">
        <v>0.75</v>
      </c>
      <c r="BS3" s="2">
        <v>1</v>
      </c>
      <c r="BT3" s="2">
        <v>0.56000000000000005</v>
      </c>
      <c r="BU3" s="2">
        <v>1</v>
      </c>
      <c r="BV3" s="2">
        <v>0</v>
      </c>
      <c r="BW3" s="2">
        <v>0</v>
      </c>
      <c r="BX3" s="5">
        <v>1</v>
      </c>
      <c r="BY3" s="2">
        <v>9</v>
      </c>
      <c r="BZ3" s="2">
        <v>5.0599999999999996</v>
      </c>
      <c r="CA3" s="2">
        <v>8</v>
      </c>
      <c r="CB3" s="2">
        <v>4.5</v>
      </c>
      <c r="CC3" s="2">
        <v>4</v>
      </c>
      <c r="CD3" s="2">
        <v>2.25</v>
      </c>
      <c r="CE3" s="2">
        <v>3.38</v>
      </c>
      <c r="CF3" s="2">
        <v>18</v>
      </c>
      <c r="CG3" s="2">
        <v>3</v>
      </c>
      <c r="CH3" s="2">
        <v>1.69</v>
      </c>
      <c r="CI3" s="2">
        <v>4</v>
      </c>
      <c r="CJ3" s="2">
        <v>0</v>
      </c>
      <c r="CK3" s="2">
        <v>1</v>
      </c>
      <c r="CL3" s="2">
        <v>0</v>
      </c>
      <c r="CM3" s="2">
        <v>1</v>
      </c>
      <c r="CN3" s="2">
        <v>0.56000000000000005</v>
      </c>
      <c r="CO3" s="2">
        <v>0.56000000000000005</v>
      </c>
      <c r="CP3" s="2" t="s">
        <v>115</v>
      </c>
    </row>
    <row r="4" spans="1:94" ht="12" thickBot="1" x14ac:dyDescent="0.2">
      <c r="A4" s="7">
        <v>61043917</v>
      </c>
      <c r="B4" s="2" t="s">
        <v>116</v>
      </c>
      <c r="C4" s="2" t="s">
        <v>117</v>
      </c>
      <c r="D4" s="2" t="s">
        <v>118</v>
      </c>
      <c r="E4" s="2" t="s">
        <v>119</v>
      </c>
      <c r="F4" s="2" t="s">
        <v>120</v>
      </c>
      <c r="G4" s="2"/>
      <c r="H4" s="2" t="s">
        <v>121</v>
      </c>
      <c r="I4" s="2">
        <v>28</v>
      </c>
      <c r="J4" s="2" t="s">
        <v>122</v>
      </c>
      <c r="K4" s="2" t="s">
        <v>101</v>
      </c>
      <c r="L4" s="3">
        <v>45838</v>
      </c>
      <c r="M4" s="2" t="s">
        <v>123</v>
      </c>
      <c r="N4" s="4">
        <v>3176</v>
      </c>
      <c r="O4" s="2">
        <v>85.84</v>
      </c>
      <c r="P4" s="2" t="s">
        <v>124</v>
      </c>
      <c r="Q4" s="2" t="s">
        <v>125</v>
      </c>
      <c r="R4" s="2" t="s">
        <v>105</v>
      </c>
      <c r="S4" s="2">
        <v>4.79</v>
      </c>
      <c r="T4" s="2">
        <v>6.88</v>
      </c>
      <c r="U4" s="2">
        <v>3</v>
      </c>
      <c r="V4" s="4">
        <v>2230</v>
      </c>
      <c r="W4" s="2">
        <v>63.19</v>
      </c>
      <c r="X4" s="4">
        <v>1823</v>
      </c>
      <c r="Y4" s="2">
        <v>51.66</v>
      </c>
      <c r="Z4" s="2">
        <v>3.8</v>
      </c>
      <c r="AA4" s="2">
        <v>134</v>
      </c>
      <c r="AB4" s="2">
        <v>5</v>
      </c>
      <c r="AC4" s="2">
        <v>0.14000000000000001</v>
      </c>
      <c r="AD4" s="2">
        <v>5</v>
      </c>
      <c r="AE4" s="2">
        <v>0.14000000000000001</v>
      </c>
      <c r="AF4" s="5">
        <v>0.82</v>
      </c>
      <c r="AG4" s="2">
        <v>1</v>
      </c>
      <c r="AH4" s="2">
        <v>0.03</v>
      </c>
      <c r="AI4" s="2">
        <v>1.33</v>
      </c>
      <c r="AJ4" s="2">
        <v>0.04</v>
      </c>
      <c r="AK4" s="2">
        <v>13</v>
      </c>
      <c r="AL4" s="2">
        <v>0.37</v>
      </c>
      <c r="AM4" s="2">
        <v>4</v>
      </c>
      <c r="AN4" s="2">
        <v>0.11</v>
      </c>
      <c r="AO4" s="5">
        <v>0.31</v>
      </c>
      <c r="AP4" s="2">
        <v>4</v>
      </c>
      <c r="AQ4" s="2">
        <v>0.11</v>
      </c>
      <c r="AR4" s="2" t="s">
        <v>102</v>
      </c>
      <c r="AS4" s="2">
        <v>1.66</v>
      </c>
      <c r="AT4" s="2">
        <v>0.13</v>
      </c>
      <c r="AU4" s="2">
        <v>0</v>
      </c>
      <c r="AV4" s="2" t="s">
        <v>102</v>
      </c>
      <c r="AW4" s="2" t="s">
        <v>102</v>
      </c>
      <c r="AX4" s="2">
        <v>0.05</v>
      </c>
      <c r="AY4" s="2">
        <v>1.66</v>
      </c>
      <c r="AZ4" s="2">
        <v>0.05</v>
      </c>
      <c r="BA4" s="2">
        <v>-1.66</v>
      </c>
      <c r="BB4" s="2">
        <v>41</v>
      </c>
      <c r="BC4" s="2">
        <v>1.1599999999999999</v>
      </c>
      <c r="BD4" s="2">
        <v>5</v>
      </c>
      <c r="BE4" s="2">
        <v>0.14000000000000001</v>
      </c>
      <c r="BF4" s="2">
        <v>0</v>
      </c>
      <c r="BG4" s="2">
        <v>0</v>
      </c>
      <c r="BH4" s="5">
        <v>0</v>
      </c>
      <c r="BI4" s="2">
        <v>8</v>
      </c>
      <c r="BJ4" s="2">
        <v>0.23</v>
      </c>
      <c r="BK4" s="2">
        <v>8</v>
      </c>
      <c r="BL4" s="2">
        <v>1</v>
      </c>
      <c r="BM4" s="2">
        <v>351</v>
      </c>
      <c r="BN4" s="2">
        <v>9.9499999999999993</v>
      </c>
      <c r="BO4" s="2">
        <v>267</v>
      </c>
      <c r="BP4" s="2">
        <v>7.57</v>
      </c>
      <c r="BQ4" s="2">
        <v>0.62</v>
      </c>
      <c r="BR4" s="5">
        <v>0.76</v>
      </c>
      <c r="BS4" s="2">
        <v>44</v>
      </c>
      <c r="BT4" s="2">
        <v>1.05</v>
      </c>
      <c r="BU4" s="2">
        <v>37</v>
      </c>
      <c r="BV4" s="2">
        <v>9</v>
      </c>
      <c r="BW4" s="2">
        <v>0.26</v>
      </c>
      <c r="BX4" s="5">
        <v>0.84</v>
      </c>
      <c r="BY4" s="2">
        <v>102</v>
      </c>
      <c r="BZ4" s="2">
        <v>2.89</v>
      </c>
      <c r="CA4" s="2">
        <v>165</v>
      </c>
      <c r="CB4" s="2">
        <v>4.68</v>
      </c>
      <c r="CC4" s="2">
        <v>68</v>
      </c>
      <c r="CD4" s="2">
        <v>1.93</v>
      </c>
      <c r="CE4" s="2">
        <v>2.21</v>
      </c>
      <c r="CF4" s="2">
        <v>20.260000000000002</v>
      </c>
      <c r="CG4" s="2">
        <v>52</v>
      </c>
      <c r="CH4" s="2">
        <v>1.47</v>
      </c>
      <c r="CI4" s="2">
        <v>37</v>
      </c>
      <c r="CJ4" s="2">
        <v>9</v>
      </c>
      <c r="CK4" s="2">
        <v>1</v>
      </c>
      <c r="CL4" s="2">
        <v>0</v>
      </c>
      <c r="CM4" s="2">
        <v>19</v>
      </c>
      <c r="CN4" s="2">
        <v>0.54</v>
      </c>
      <c r="CO4" s="2">
        <v>0.77</v>
      </c>
      <c r="CP4" s="2" t="s">
        <v>126</v>
      </c>
    </row>
    <row r="5" spans="1:94" ht="12" thickBot="1" x14ac:dyDescent="0.2">
      <c r="A5" s="7">
        <v>67257035</v>
      </c>
      <c r="B5" s="2" t="s">
        <v>127</v>
      </c>
      <c r="C5" s="2" t="s">
        <v>128</v>
      </c>
      <c r="D5" s="2" t="s">
        <v>129</v>
      </c>
      <c r="E5" s="2" t="s">
        <v>130</v>
      </c>
      <c r="F5" s="2" t="s">
        <v>131</v>
      </c>
      <c r="G5" s="2"/>
      <c r="H5" s="2" t="s">
        <v>121</v>
      </c>
      <c r="I5" s="2">
        <v>24</v>
      </c>
      <c r="J5" s="2" t="s">
        <v>109</v>
      </c>
      <c r="K5" s="2" t="s">
        <v>132</v>
      </c>
      <c r="L5" s="3">
        <v>46568</v>
      </c>
      <c r="M5" s="2" t="s">
        <v>133</v>
      </c>
      <c r="N5" s="4">
        <v>2068</v>
      </c>
      <c r="O5" s="2">
        <v>73.86</v>
      </c>
      <c r="P5" s="2" t="s">
        <v>134</v>
      </c>
      <c r="Q5" s="2" t="s">
        <v>135</v>
      </c>
      <c r="R5" s="2" t="s">
        <v>136</v>
      </c>
      <c r="S5" s="2">
        <v>9.49</v>
      </c>
      <c r="T5" s="2">
        <v>6.67</v>
      </c>
      <c r="U5" s="2">
        <v>1</v>
      </c>
      <c r="V5" s="4">
        <v>1191</v>
      </c>
      <c r="W5" s="2">
        <v>51.83</v>
      </c>
      <c r="X5" s="4">
        <v>1011</v>
      </c>
      <c r="Y5" s="2">
        <v>44</v>
      </c>
      <c r="Z5" s="2">
        <v>2.92</v>
      </c>
      <c r="AA5" s="2">
        <v>67</v>
      </c>
      <c r="AB5" s="2">
        <v>6</v>
      </c>
      <c r="AC5" s="2">
        <v>0.26</v>
      </c>
      <c r="AD5" s="2">
        <v>6</v>
      </c>
      <c r="AE5" s="2">
        <v>0.26</v>
      </c>
      <c r="AF5" s="5">
        <v>0.85</v>
      </c>
      <c r="AG5" s="2">
        <v>0</v>
      </c>
      <c r="AH5" s="2" t="s">
        <v>102</v>
      </c>
      <c r="AI5" s="2">
        <v>1.21</v>
      </c>
      <c r="AJ5" s="2">
        <v>0.05</v>
      </c>
      <c r="AK5" s="2">
        <v>11</v>
      </c>
      <c r="AL5" s="2">
        <v>0.48</v>
      </c>
      <c r="AM5" s="2">
        <v>3</v>
      </c>
      <c r="AN5" s="2">
        <v>0.13</v>
      </c>
      <c r="AO5" s="5">
        <v>0.27</v>
      </c>
      <c r="AP5" s="2">
        <v>2</v>
      </c>
      <c r="AQ5" s="2">
        <v>0.09</v>
      </c>
      <c r="AR5" s="5">
        <v>0.09</v>
      </c>
      <c r="AS5" s="2">
        <v>1.01</v>
      </c>
      <c r="AT5" s="2">
        <v>0.09</v>
      </c>
      <c r="AU5" s="2">
        <v>1</v>
      </c>
      <c r="AV5" s="2">
        <v>0.04</v>
      </c>
      <c r="AW5" s="6">
        <v>2068</v>
      </c>
      <c r="AX5" s="2">
        <v>0.04</v>
      </c>
      <c r="AY5" s="2">
        <v>1.01</v>
      </c>
      <c r="AZ5" s="2">
        <v>0.04</v>
      </c>
      <c r="BA5" s="2">
        <v>-0.01</v>
      </c>
      <c r="BB5" s="2">
        <v>24</v>
      </c>
      <c r="BC5" s="2">
        <v>1.04</v>
      </c>
      <c r="BD5" s="2">
        <v>16</v>
      </c>
      <c r="BE5" s="2">
        <v>0.7</v>
      </c>
      <c r="BF5" s="2">
        <v>2</v>
      </c>
      <c r="BG5" s="2">
        <v>0.09</v>
      </c>
      <c r="BH5" s="5">
        <v>0.13</v>
      </c>
      <c r="BI5" s="2">
        <v>9</v>
      </c>
      <c r="BJ5" s="2">
        <v>0.39</v>
      </c>
      <c r="BK5" s="2">
        <v>4</v>
      </c>
      <c r="BL5" s="2">
        <v>0</v>
      </c>
      <c r="BM5" s="2">
        <v>201</v>
      </c>
      <c r="BN5" s="2">
        <v>8.75</v>
      </c>
      <c r="BO5" s="2">
        <v>162</v>
      </c>
      <c r="BP5" s="2">
        <v>7.05</v>
      </c>
      <c r="BQ5" s="2">
        <v>0.91</v>
      </c>
      <c r="BR5" s="5">
        <v>0.81</v>
      </c>
      <c r="BS5" s="2">
        <v>39</v>
      </c>
      <c r="BT5" s="2">
        <v>1.39</v>
      </c>
      <c r="BU5" s="2">
        <v>32</v>
      </c>
      <c r="BV5" s="2">
        <v>9</v>
      </c>
      <c r="BW5" s="2">
        <v>0.39</v>
      </c>
      <c r="BX5" s="5">
        <v>0.82</v>
      </c>
      <c r="BY5" s="2">
        <v>75</v>
      </c>
      <c r="BZ5" s="2">
        <v>3.26</v>
      </c>
      <c r="CA5" s="2">
        <v>131</v>
      </c>
      <c r="CB5" s="2">
        <v>5.7</v>
      </c>
      <c r="CC5" s="2">
        <v>53</v>
      </c>
      <c r="CD5" s="2">
        <v>2.31</v>
      </c>
      <c r="CE5" s="2">
        <v>10.62</v>
      </c>
      <c r="CF5" s="2">
        <v>20.45</v>
      </c>
      <c r="CG5" s="2">
        <v>38</v>
      </c>
      <c r="CH5" s="2">
        <v>1.65</v>
      </c>
      <c r="CI5" s="2">
        <v>20</v>
      </c>
      <c r="CJ5" s="2">
        <v>3</v>
      </c>
      <c r="CK5" s="2">
        <v>1</v>
      </c>
      <c r="CL5" s="2">
        <v>3</v>
      </c>
      <c r="CM5" s="2">
        <v>15</v>
      </c>
      <c r="CN5" s="2">
        <v>0.65</v>
      </c>
      <c r="CO5" s="2">
        <v>2.09</v>
      </c>
      <c r="CP5" s="2"/>
    </row>
    <row r="6" spans="1:94" ht="12" thickBot="1" x14ac:dyDescent="0.2">
      <c r="A6" s="7">
        <v>2000071315</v>
      </c>
      <c r="B6" s="2" t="s">
        <v>137</v>
      </c>
      <c r="C6" s="2" t="s">
        <v>138</v>
      </c>
      <c r="D6" s="2" t="s">
        <v>139</v>
      </c>
      <c r="E6" s="2" t="s">
        <v>140</v>
      </c>
      <c r="F6" s="2" t="s">
        <v>141</v>
      </c>
      <c r="G6" s="2"/>
      <c r="H6" s="2" t="s">
        <v>121</v>
      </c>
      <c r="I6" s="2">
        <v>23</v>
      </c>
      <c r="J6" s="2" t="s">
        <v>109</v>
      </c>
      <c r="K6" s="2" t="s">
        <v>142</v>
      </c>
      <c r="L6" s="3">
        <v>46752</v>
      </c>
      <c r="M6" s="2" t="s">
        <v>143</v>
      </c>
      <c r="N6" s="2">
        <v>331</v>
      </c>
      <c r="O6" s="2">
        <v>82.75</v>
      </c>
      <c r="P6" s="2">
        <v>4</v>
      </c>
      <c r="Q6" s="2" t="s">
        <v>144</v>
      </c>
      <c r="R6" s="2" t="s">
        <v>105</v>
      </c>
      <c r="S6" s="2">
        <v>5.98</v>
      </c>
      <c r="T6" s="2">
        <v>7.15</v>
      </c>
      <c r="U6" s="2">
        <v>1</v>
      </c>
      <c r="V6" s="2">
        <v>230</v>
      </c>
      <c r="W6" s="2">
        <v>62.54</v>
      </c>
      <c r="X6" s="2">
        <v>188</v>
      </c>
      <c r="Y6" s="2">
        <v>51.12</v>
      </c>
      <c r="Z6" s="2">
        <v>3.81</v>
      </c>
      <c r="AA6" s="2">
        <v>14</v>
      </c>
      <c r="AB6" s="2">
        <v>1</v>
      </c>
      <c r="AC6" s="2">
        <v>0.27</v>
      </c>
      <c r="AD6" s="2">
        <v>1</v>
      </c>
      <c r="AE6" s="2">
        <v>0.27</v>
      </c>
      <c r="AF6" s="5">
        <v>0.82</v>
      </c>
      <c r="AG6" s="2">
        <v>0</v>
      </c>
      <c r="AH6" s="2" t="s">
        <v>102</v>
      </c>
      <c r="AI6" s="2">
        <v>0.2</v>
      </c>
      <c r="AJ6" s="2">
        <v>0.05</v>
      </c>
      <c r="AK6" s="2">
        <v>2</v>
      </c>
      <c r="AL6" s="2">
        <v>0.54</v>
      </c>
      <c r="AM6" s="2">
        <v>0</v>
      </c>
      <c r="AN6" s="2">
        <v>0</v>
      </c>
      <c r="AO6" s="5">
        <v>0</v>
      </c>
      <c r="AP6" s="2">
        <v>0</v>
      </c>
      <c r="AQ6" s="2" t="s">
        <v>102</v>
      </c>
      <c r="AR6" s="2" t="s">
        <v>102</v>
      </c>
      <c r="AS6" s="2">
        <v>0.1</v>
      </c>
      <c r="AT6" s="2">
        <v>0.05</v>
      </c>
      <c r="AU6" s="2">
        <v>0</v>
      </c>
      <c r="AV6" s="2" t="s">
        <v>102</v>
      </c>
      <c r="AW6" s="2" t="s">
        <v>102</v>
      </c>
      <c r="AX6" s="2">
        <v>0.03</v>
      </c>
      <c r="AY6" s="2">
        <v>0.1</v>
      </c>
      <c r="AZ6" s="2">
        <v>0.03</v>
      </c>
      <c r="BA6" s="2">
        <v>-0.1</v>
      </c>
      <c r="BB6" s="2">
        <v>7</v>
      </c>
      <c r="BC6" s="2">
        <v>1.9</v>
      </c>
      <c r="BD6" s="2">
        <v>1</v>
      </c>
      <c r="BE6" s="2">
        <v>0.27</v>
      </c>
      <c r="BF6" s="2">
        <v>0</v>
      </c>
      <c r="BG6" s="2">
        <v>0</v>
      </c>
      <c r="BH6" s="5">
        <v>0</v>
      </c>
      <c r="BI6" s="2">
        <v>0</v>
      </c>
      <c r="BJ6" s="2" t="s">
        <v>102</v>
      </c>
      <c r="BK6" s="2">
        <v>0</v>
      </c>
      <c r="BL6" s="2">
        <v>0</v>
      </c>
      <c r="BM6" s="2">
        <v>38</v>
      </c>
      <c r="BN6" s="2">
        <v>10.33</v>
      </c>
      <c r="BO6" s="2">
        <v>33</v>
      </c>
      <c r="BP6" s="2">
        <v>8.9700000000000006</v>
      </c>
      <c r="BQ6" s="2">
        <v>0.27</v>
      </c>
      <c r="BR6" s="5">
        <v>0.87</v>
      </c>
      <c r="BS6" s="2">
        <v>4</v>
      </c>
      <c r="BT6" s="2">
        <v>1.0900000000000001</v>
      </c>
      <c r="BU6" s="2">
        <v>4</v>
      </c>
      <c r="BV6" s="2">
        <v>1</v>
      </c>
      <c r="BW6" s="2">
        <v>0.27</v>
      </c>
      <c r="BX6" s="5">
        <v>1</v>
      </c>
      <c r="BY6" s="2">
        <v>13</v>
      </c>
      <c r="BZ6" s="2">
        <v>3.53</v>
      </c>
      <c r="CA6" s="2">
        <v>11</v>
      </c>
      <c r="CB6" s="2">
        <v>2.99</v>
      </c>
      <c r="CC6" s="2">
        <v>6</v>
      </c>
      <c r="CD6" s="2">
        <v>1.63</v>
      </c>
      <c r="CE6" s="2">
        <v>3.26</v>
      </c>
      <c r="CF6" s="2">
        <v>23.93</v>
      </c>
      <c r="CG6" s="2">
        <v>5</v>
      </c>
      <c r="CH6" s="2">
        <v>1.36</v>
      </c>
      <c r="CI6" s="2">
        <v>1</v>
      </c>
      <c r="CJ6" s="2">
        <v>1</v>
      </c>
      <c r="CK6" s="2">
        <v>0</v>
      </c>
      <c r="CL6" s="2">
        <v>0</v>
      </c>
      <c r="CM6" s="2">
        <v>4</v>
      </c>
      <c r="CN6" s="2">
        <v>1.0900000000000001</v>
      </c>
      <c r="CO6" s="2">
        <v>0.82</v>
      </c>
      <c r="CP6" s="2"/>
    </row>
    <row r="7" spans="1:94" ht="12" thickBot="1" x14ac:dyDescent="0.2">
      <c r="A7" s="7">
        <v>16147693</v>
      </c>
      <c r="B7" s="2" t="s">
        <v>145</v>
      </c>
      <c r="C7" s="2" t="s">
        <v>146</v>
      </c>
      <c r="D7" s="2" t="s">
        <v>147</v>
      </c>
      <c r="E7" s="2" t="s">
        <v>148</v>
      </c>
      <c r="F7" s="2" t="s">
        <v>149</v>
      </c>
      <c r="G7" s="2"/>
      <c r="H7" s="2" t="s">
        <v>121</v>
      </c>
      <c r="I7" s="2">
        <v>26</v>
      </c>
      <c r="J7" s="2" t="s">
        <v>150</v>
      </c>
      <c r="K7" s="2" t="s">
        <v>151</v>
      </c>
      <c r="L7" s="3">
        <v>45838</v>
      </c>
      <c r="M7" s="2" t="s">
        <v>152</v>
      </c>
      <c r="N7" s="4">
        <v>2663</v>
      </c>
      <c r="O7" s="2">
        <v>88.77</v>
      </c>
      <c r="P7" s="2">
        <v>30</v>
      </c>
      <c r="Q7" s="2" t="s">
        <v>153</v>
      </c>
      <c r="R7" s="2" t="s">
        <v>154</v>
      </c>
      <c r="S7" s="2">
        <v>4.7300000000000004</v>
      </c>
      <c r="T7" s="2">
        <v>6.99</v>
      </c>
      <c r="U7" s="2">
        <v>1</v>
      </c>
      <c r="V7" s="4">
        <v>2000</v>
      </c>
      <c r="W7" s="2">
        <v>67.59</v>
      </c>
      <c r="X7" s="4">
        <v>1765</v>
      </c>
      <c r="Y7" s="2">
        <v>59.65</v>
      </c>
      <c r="Z7" s="2">
        <v>4.53</v>
      </c>
      <c r="AA7" s="2">
        <v>134</v>
      </c>
      <c r="AB7" s="2">
        <v>6</v>
      </c>
      <c r="AC7" s="2">
        <v>0.2</v>
      </c>
      <c r="AD7" s="2">
        <v>6</v>
      </c>
      <c r="AE7" s="2">
        <v>0.2</v>
      </c>
      <c r="AF7" s="5">
        <v>0.88</v>
      </c>
      <c r="AG7" s="2">
        <v>1</v>
      </c>
      <c r="AH7" s="2">
        <v>0.03</v>
      </c>
      <c r="AI7" s="2">
        <v>2</v>
      </c>
      <c r="AJ7" s="2">
        <v>7.0000000000000007E-2</v>
      </c>
      <c r="AK7" s="2">
        <v>16</v>
      </c>
      <c r="AL7" s="2">
        <v>0.54</v>
      </c>
      <c r="AM7" s="2">
        <v>7</v>
      </c>
      <c r="AN7" s="2">
        <v>0.24</v>
      </c>
      <c r="AO7" s="5">
        <v>0.44</v>
      </c>
      <c r="AP7" s="2">
        <v>4</v>
      </c>
      <c r="AQ7" s="2">
        <v>0.14000000000000001</v>
      </c>
      <c r="AR7" s="5">
        <v>0.25</v>
      </c>
      <c r="AS7" s="2">
        <v>2.5099999999999998</v>
      </c>
      <c r="AT7" s="2">
        <v>0.16</v>
      </c>
      <c r="AU7" s="2">
        <v>4</v>
      </c>
      <c r="AV7" s="2">
        <v>0.14000000000000001</v>
      </c>
      <c r="AW7" s="2">
        <v>665.75</v>
      </c>
      <c r="AX7" s="2">
        <v>0.08</v>
      </c>
      <c r="AY7" s="2">
        <v>2.5099999999999998</v>
      </c>
      <c r="AZ7" s="2">
        <v>0.08</v>
      </c>
      <c r="BA7" s="2">
        <v>1.49</v>
      </c>
      <c r="BB7" s="2">
        <v>51</v>
      </c>
      <c r="BC7" s="2">
        <v>1.72</v>
      </c>
      <c r="BD7" s="2">
        <v>5</v>
      </c>
      <c r="BE7" s="2">
        <v>0.17</v>
      </c>
      <c r="BF7" s="2">
        <v>0</v>
      </c>
      <c r="BG7" s="2">
        <v>0</v>
      </c>
      <c r="BH7" s="5">
        <v>0</v>
      </c>
      <c r="BI7" s="2">
        <v>2</v>
      </c>
      <c r="BJ7" s="2">
        <v>7.0000000000000007E-2</v>
      </c>
      <c r="BK7" s="2">
        <v>6</v>
      </c>
      <c r="BL7" s="2">
        <v>0</v>
      </c>
      <c r="BM7" s="2">
        <v>281</v>
      </c>
      <c r="BN7" s="2">
        <v>9.5</v>
      </c>
      <c r="BO7" s="2">
        <v>220</v>
      </c>
      <c r="BP7" s="2">
        <v>7.44</v>
      </c>
      <c r="BQ7" s="2">
        <v>0.56999999999999995</v>
      </c>
      <c r="BR7" s="5">
        <v>0.78</v>
      </c>
      <c r="BS7" s="2">
        <v>45</v>
      </c>
      <c r="BT7" s="2">
        <v>1.18</v>
      </c>
      <c r="BU7" s="2">
        <v>35</v>
      </c>
      <c r="BV7" s="2">
        <v>8</v>
      </c>
      <c r="BW7" s="2">
        <v>0.27</v>
      </c>
      <c r="BX7" s="5">
        <v>0.78</v>
      </c>
      <c r="BY7" s="2">
        <v>84</v>
      </c>
      <c r="BZ7" s="2">
        <v>2.84</v>
      </c>
      <c r="CA7" s="2">
        <v>131</v>
      </c>
      <c r="CB7" s="2">
        <v>4.43</v>
      </c>
      <c r="CC7" s="2">
        <v>52</v>
      </c>
      <c r="CD7" s="2">
        <v>1.76</v>
      </c>
      <c r="CE7" s="2">
        <v>3.41</v>
      </c>
      <c r="CF7" s="2">
        <v>18.96</v>
      </c>
      <c r="CG7" s="2">
        <v>27</v>
      </c>
      <c r="CH7" s="2">
        <v>0.91</v>
      </c>
      <c r="CI7" s="2">
        <v>24</v>
      </c>
      <c r="CJ7" s="2">
        <v>6</v>
      </c>
      <c r="CK7" s="2">
        <v>0</v>
      </c>
      <c r="CL7" s="2">
        <v>1</v>
      </c>
      <c r="CM7" s="2">
        <v>21</v>
      </c>
      <c r="CN7" s="2">
        <v>0.71</v>
      </c>
      <c r="CO7" s="2">
        <v>1.18</v>
      </c>
      <c r="CP7" s="2"/>
    </row>
    <row r="8" spans="1:94" ht="12" thickBot="1" x14ac:dyDescent="0.2">
      <c r="A8" s="7">
        <v>14110624</v>
      </c>
      <c r="B8" s="2" t="s">
        <v>155</v>
      </c>
      <c r="C8" s="2" t="s">
        <v>156</v>
      </c>
      <c r="D8" s="2" t="s">
        <v>157</v>
      </c>
      <c r="E8" s="2" t="s">
        <v>158</v>
      </c>
      <c r="F8" s="2" t="s">
        <v>131</v>
      </c>
      <c r="G8" s="2" t="s">
        <v>141</v>
      </c>
      <c r="H8" s="2" t="s">
        <v>159</v>
      </c>
      <c r="I8" s="2">
        <v>29</v>
      </c>
      <c r="J8" s="2" t="s">
        <v>160</v>
      </c>
      <c r="K8" s="2" t="s">
        <v>142</v>
      </c>
      <c r="L8" s="3">
        <v>45473</v>
      </c>
      <c r="M8" s="2" t="s">
        <v>161</v>
      </c>
      <c r="N8" s="2">
        <v>409</v>
      </c>
      <c r="O8" s="2">
        <v>81.8</v>
      </c>
      <c r="P8" s="2">
        <v>5</v>
      </c>
      <c r="Q8" s="2" t="s">
        <v>162</v>
      </c>
      <c r="R8" s="2" t="s">
        <v>163</v>
      </c>
      <c r="S8" s="2">
        <v>4.62</v>
      </c>
      <c r="T8" s="2">
        <v>6.96</v>
      </c>
      <c r="U8" s="2">
        <v>0</v>
      </c>
      <c r="V8" s="2">
        <v>275</v>
      </c>
      <c r="W8" s="2">
        <v>60.51</v>
      </c>
      <c r="X8" s="2">
        <v>177</v>
      </c>
      <c r="Y8" s="2">
        <v>38.950000000000003</v>
      </c>
      <c r="Z8" s="2">
        <v>4.84</v>
      </c>
      <c r="AA8" s="2">
        <v>22</v>
      </c>
      <c r="AB8" s="2">
        <v>3</v>
      </c>
      <c r="AC8" s="2">
        <v>0.66</v>
      </c>
      <c r="AD8" s="2">
        <v>3</v>
      </c>
      <c r="AE8" s="2">
        <v>0.66</v>
      </c>
      <c r="AF8" s="5">
        <v>0.64</v>
      </c>
      <c r="AG8" s="2">
        <v>0</v>
      </c>
      <c r="AH8" s="2" t="s">
        <v>102</v>
      </c>
      <c r="AI8" s="2">
        <v>0.73</v>
      </c>
      <c r="AJ8" s="2">
        <v>0.16</v>
      </c>
      <c r="AK8" s="2">
        <v>1</v>
      </c>
      <c r="AL8" s="2">
        <v>0.22</v>
      </c>
      <c r="AM8" s="2">
        <v>0</v>
      </c>
      <c r="AN8" s="2">
        <v>0</v>
      </c>
      <c r="AO8" s="5">
        <v>0</v>
      </c>
      <c r="AP8" s="2">
        <v>2</v>
      </c>
      <c r="AQ8" s="2">
        <v>0.44</v>
      </c>
      <c r="AR8" s="2" t="s">
        <v>102</v>
      </c>
      <c r="AS8" s="2">
        <v>0.05</v>
      </c>
      <c r="AT8" s="2">
        <v>0.05</v>
      </c>
      <c r="AU8" s="2">
        <v>0</v>
      </c>
      <c r="AV8" s="2" t="s">
        <v>102</v>
      </c>
      <c r="AW8" s="2" t="s">
        <v>102</v>
      </c>
      <c r="AX8" s="2">
        <v>0.01</v>
      </c>
      <c r="AY8" s="2">
        <v>0.05</v>
      </c>
      <c r="AZ8" s="2">
        <v>0.01</v>
      </c>
      <c r="BA8" s="2">
        <v>-0.05</v>
      </c>
      <c r="BB8" s="2">
        <v>13</v>
      </c>
      <c r="BC8" s="2">
        <v>2.86</v>
      </c>
      <c r="BD8" s="2">
        <v>0</v>
      </c>
      <c r="BE8" s="2">
        <v>0</v>
      </c>
      <c r="BF8" s="2">
        <v>0</v>
      </c>
      <c r="BG8" s="2">
        <v>0</v>
      </c>
      <c r="BH8" s="5">
        <v>0</v>
      </c>
      <c r="BI8" s="2">
        <v>0</v>
      </c>
      <c r="BJ8" s="2" t="s">
        <v>102</v>
      </c>
      <c r="BK8" s="2">
        <v>1</v>
      </c>
      <c r="BL8" s="2">
        <v>0</v>
      </c>
      <c r="BM8" s="2">
        <v>65</v>
      </c>
      <c r="BN8" s="2">
        <v>14.3</v>
      </c>
      <c r="BO8" s="2">
        <v>57</v>
      </c>
      <c r="BP8" s="2">
        <v>12.54</v>
      </c>
      <c r="BQ8" s="2">
        <v>0.22</v>
      </c>
      <c r="BR8" s="5">
        <v>0.88</v>
      </c>
      <c r="BS8" s="2">
        <v>2</v>
      </c>
      <c r="BT8" s="2">
        <v>0.44</v>
      </c>
      <c r="BU8" s="2">
        <v>2</v>
      </c>
      <c r="BV8" s="2">
        <v>0</v>
      </c>
      <c r="BW8" s="2">
        <v>0</v>
      </c>
      <c r="BX8" s="5">
        <v>1</v>
      </c>
      <c r="BY8" s="2">
        <v>23</v>
      </c>
      <c r="BZ8" s="2">
        <v>5.0599999999999996</v>
      </c>
      <c r="CA8" s="2">
        <v>15</v>
      </c>
      <c r="CB8" s="2">
        <v>3.3</v>
      </c>
      <c r="CC8" s="2">
        <v>7</v>
      </c>
      <c r="CD8" s="2">
        <v>1.54</v>
      </c>
      <c r="CE8" s="2">
        <v>22.44</v>
      </c>
      <c r="CF8" s="2">
        <v>33.67</v>
      </c>
      <c r="CG8" s="2">
        <v>7</v>
      </c>
      <c r="CH8" s="2">
        <v>1.54</v>
      </c>
      <c r="CI8" s="2">
        <v>6</v>
      </c>
      <c r="CJ8" s="2">
        <v>1</v>
      </c>
      <c r="CK8" s="2">
        <v>0</v>
      </c>
      <c r="CL8" s="2">
        <v>0</v>
      </c>
      <c r="CM8" s="2">
        <v>3</v>
      </c>
      <c r="CN8" s="2">
        <v>0.66</v>
      </c>
      <c r="CO8" s="2">
        <v>1.32</v>
      </c>
      <c r="CP8" s="2" t="s">
        <v>126</v>
      </c>
    </row>
    <row r="9" spans="1:94" ht="12" thickBot="1" x14ac:dyDescent="0.2">
      <c r="A9" s="7">
        <v>24051580</v>
      </c>
      <c r="B9" s="2" t="s">
        <v>164</v>
      </c>
      <c r="C9" s="2" t="s">
        <v>165</v>
      </c>
      <c r="D9" s="2" t="s">
        <v>166</v>
      </c>
      <c r="E9" s="2" t="s">
        <v>167</v>
      </c>
      <c r="F9" s="2" t="s">
        <v>168</v>
      </c>
      <c r="G9" s="2"/>
      <c r="H9" s="2" t="s">
        <v>159</v>
      </c>
      <c r="I9" s="2">
        <v>29</v>
      </c>
      <c r="J9" s="2" t="s">
        <v>109</v>
      </c>
      <c r="K9" s="2" t="s">
        <v>169</v>
      </c>
      <c r="L9" s="3">
        <v>45838</v>
      </c>
      <c r="M9" s="2" t="s">
        <v>170</v>
      </c>
      <c r="N9" s="4">
        <v>1285</v>
      </c>
      <c r="O9" s="2">
        <v>85.67</v>
      </c>
      <c r="P9" s="2">
        <v>15</v>
      </c>
      <c r="Q9" s="2" t="s">
        <v>171</v>
      </c>
      <c r="R9" s="2" t="s">
        <v>172</v>
      </c>
      <c r="S9" s="2">
        <v>4.97</v>
      </c>
      <c r="T9" s="2">
        <v>6.76</v>
      </c>
      <c r="U9" s="2">
        <v>0</v>
      </c>
      <c r="V9" s="2">
        <v>920</v>
      </c>
      <c r="W9" s="2">
        <v>64.44</v>
      </c>
      <c r="X9" s="2">
        <v>610</v>
      </c>
      <c r="Y9" s="2">
        <v>42.72</v>
      </c>
      <c r="Z9" s="2">
        <v>5.18</v>
      </c>
      <c r="AA9" s="2">
        <v>74</v>
      </c>
      <c r="AB9" s="2">
        <v>4</v>
      </c>
      <c r="AC9" s="2">
        <v>0.28000000000000003</v>
      </c>
      <c r="AD9" s="2">
        <v>4</v>
      </c>
      <c r="AE9" s="2">
        <v>0.28000000000000003</v>
      </c>
      <c r="AF9" s="5">
        <v>0.66</v>
      </c>
      <c r="AG9" s="2">
        <v>1</v>
      </c>
      <c r="AH9" s="2">
        <v>7.0000000000000007E-2</v>
      </c>
      <c r="AI9" s="2">
        <v>0.21</v>
      </c>
      <c r="AJ9" s="2">
        <v>0.01</v>
      </c>
      <c r="AK9" s="2">
        <v>10</v>
      </c>
      <c r="AL9" s="2">
        <v>0.7</v>
      </c>
      <c r="AM9" s="2">
        <v>1</v>
      </c>
      <c r="AN9" s="2">
        <v>7.0000000000000007E-2</v>
      </c>
      <c r="AO9" s="5">
        <v>0.1</v>
      </c>
      <c r="AP9" s="2">
        <v>0</v>
      </c>
      <c r="AQ9" s="2" t="s">
        <v>102</v>
      </c>
      <c r="AR9" s="2" t="s">
        <v>102</v>
      </c>
      <c r="AS9" s="2">
        <v>1.75</v>
      </c>
      <c r="AT9" s="2">
        <v>0.17</v>
      </c>
      <c r="AU9" s="2">
        <v>0</v>
      </c>
      <c r="AV9" s="2" t="s">
        <v>102</v>
      </c>
      <c r="AW9" s="2" t="s">
        <v>102</v>
      </c>
      <c r="AX9" s="2">
        <v>0.12</v>
      </c>
      <c r="AY9" s="2">
        <v>1.75</v>
      </c>
      <c r="AZ9" s="2">
        <v>0.12</v>
      </c>
      <c r="BA9" s="2">
        <v>-1.75</v>
      </c>
      <c r="BB9" s="2">
        <v>25</v>
      </c>
      <c r="BC9" s="2">
        <v>1.75</v>
      </c>
      <c r="BD9" s="2">
        <v>2</v>
      </c>
      <c r="BE9" s="2">
        <v>0.14000000000000001</v>
      </c>
      <c r="BF9" s="2">
        <v>1</v>
      </c>
      <c r="BG9" s="2">
        <v>7.0000000000000007E-2</v>
      </c>
      <c r="BH9" s="5">
        <v>0.5</v>
      </c>
      <c r="BI9" s="2">
        <v>4</v>
      </c>
      <c r="BJ9" s="2">
        <v>0.28000000000000003</v>
      </c>
      <c r="BK9" s="2">
        <v>6</v>
      </c>
      <c r="BL9" s="2">
        <v>0</v>
      </c>
      <c r="BM9" s="2">
        <v>203</v>
      </c>
      <c r="BN9" s="2">
        <v>14.22</v>
      </c>
      <c r="BO9" s="2">
        <v>167</v>
      </c>
      <c r="BP9" s="2">
        <v>11.7</v>
      </c>
      <c r="BQ9" s="2">
        <v>0.77</v>
      </c>
      <c r="BR9" s="5">
        <v>0.82</v>
      </c>
      <c r="BS9" s="2">
        <v>13</v>
      </c>
      <c r="BT9" s="2">
        <v>0.77</v>
      </c>
      <c r="BU9" s="2">
        <v>11</v>
      </c>
      <c r="BV9" s="2">
        <v>3</v>
      </c>
      <c r="BW9" s="2">
        <v>0.21</v>
      </c>
      <c r="BX9" s="5">
        <v>0.85</v>
      </c>
      <c r="BY9" s="2">
        <v>46</v>
      </c>
      <c r="BZ9" s="2">
        <v>3.22</v>
      </c>
      <c r="CA9" s="2">
        <v>46</v>
      </c>
      <c r="CB9" s="2">
        <v>3.22</v>
      </c>
      <c r="CC9" s="2">
        <v>30</v>
      </c>
      <c r="CD9" s="2">
        <v>2.1</v>
      </c>
      <c r="CE9" s="2">
        <v>2.31</v>
      </c>
      <c r="CF9" s="2">
        <v>18.7</v>
      </c>
      <c r="CG9" s="2">
        <v>22</v>
      </c>
      <c r="CH9" s="2">
        <v>1.54</v>
      </c>
      <c r="CI9" s="2">
        <v>14</v>
      </c>
      <c r="CJ9" s="2">
        <v>3</v>
      </c>
      <c r="CK9" s="2">
        <v>0</v>
      </c>
      <c r="CL9" s="2">
        <v>0</v>
      </c>
      <c r="CM9" s="2">
        <v>6</v>
      </c>
      <c r="CN9" s="2">
        <v>0.42</v>
      </c>
      <c r="CO9" s="2">
        <v>0.63</v>
      </c>
      <c r="CP9" s="2"/>
    </row>
    <row r="10" spans="1:94" ht="12" thickBot="1" x14ac:dyDescent="0.2">
      <c r="A10" s="7">
        <v>28122833</v>
      </c>
      <c r="B10" s="2" t="s">
        <v>173</v>
      </c>
      <c r="C10" s="2" t="s">
        <v>174</v>
      </c>
      <c r="D10" s="2" t="s">
        <v>175</v>
      </c>
      <c r="E10" s="2" t="s">
        <v>176</v>
      </c>
      <c r="F10" s="2" t="s">
        <v>177</v>
      </c>
      <c r="G10" s="2" t="s">
        <v>120</v>
      </c>
      <c r="H10" s="2" t="s">
        <v>159</v>
      </c>
      <c r="I10" s="2">
        <v>22</v>
      </c>
      <c r="J10" s="2" t="s">
        <v>109</v>
      </c>
      <c r="K10" s="2" t="s">
        <v>101</v>
      </c>
      <c r="L10" s="3">
        <v>46203</v>
      </c>
      <c r="M10" s="2" t="s">
        <v>178</v>
      </c>
      <c r="N10" s="2">
        <v>181</v>
      </c>
      <c r="O10" s="2">
        <v>60.33</v>
      </c>
      <c r="P10" s="2" t="s">
        <v>112</v>
      </c>
      <c r="Q10" s="2" t="s">
        <v>179</v>
      </c>
      <c r="R10" s="2" t="s">
        <v>180</v>
      </c>
      <c r="S10" s="2">
        <v>1.99</v>
      </c>
      <c r="T10" s="2">
        <v>7.05</v>
      </c>
      <c r="U10" s="2">
        <v>0</v>
      </c>
      <c r="V10" s="2">
        <v>131</v>
      </c>
      <c r="W10" s="2">
        <v>65.14</v>
      </c>
      <c r="X10" s="2">
        <v>124</v>
      </c>
      <c r="Y10" s="2">
        <v>61.66</v>
      </c>
      <c r="Z10" s="2">
        <v>4.97</v>
      </c>
      <c r="AA10" s="2">
        <v>10</v>
      </c>
      <c r="AB10" s="2">
        <v>0</v>
      </c>
      <c r="AC10" s="2" t="s">
        <v>102</v>
      </c>
      <c r="AD10" s="2">
        <v>0</v>
      </c>
      <c r="AE10" s="2">
        <v>0</v>
      </c>
      <c r="AF10" s="5">
        <v>0.95</v>
      </c>
      <c r="AG10" s="2">
        <v>0</v>
      </c>
      <c r="AH10" s="2" t="s">
        <v>102</v>
      </c>
      <c r="AI10" s="2">
        <v>0.01</v>
      </c>
      <c r="AJ10" s="2">
        <v>0</v>
      </c>
      <c r="AK10" s="2">
        <v>0</v>
      </c>
      <c r="AL10" s="2" t="s">
        <v>102</v>
      </c>
      <c r="AM10" s="2" t="s">
        <v>102</v>
      </c>
      <c r="AN10" s="2" t="s">
        <v>102</v>
      </c>
      <c r="AO10" s="2" t="s">
        <v>102</v>
      </c>
      <c r="AP10" s="2">
        <v>1</v>
      </c>
      <c r="AQ10" s="2">
        <v>0.5</v>
      </c>
      <c r="AR10" s="2" t="s">
        <v>102</v>
      </c>
      <c r="AS10" s="2">
        <v>0</v>
      </c>
      <c r="AT10" s="2">
        <v>0</v>
      </c>
      <c r="AU10" s="2">
        <v>0</v>
      </c>
      <c r="AV10" s="2" t="s">
        <v>102</v>
      </c>
      <c r="AW10" s="2" t="s">
        <v>102</v>
      </c>
      <c r="AX10" s="2">
        <v>0</v>
      </c>
      <c r="AY10" s="2">
        <v>0</v>
      </c>
      <c r="AZ10" s="2">
        <v>0</v>
      </c>
      <c r="BA10" s="2">
        <v>0</v>
      </c>
      <c r="BB10" s="2">
        <v>4</v>
      </c>
      <c r="BC10" s="2">
        <v>1.99</v>
      </c>
      <c r="BD10" s="2">
        <v>0</v>
      </c>
      <c r="BE10" s="2">
        <v>0</v>
      </c>
      <c r="BF10" s="2">
        <v>0</v>
      </c>
      <c r="BG10" s="2">
        <v>0</v>
      </c>
      <c r="BH10" s="5">
        <v>0</v>
      </c>
      <c r="BI10" s="2">
        <v>1</v>
      </c>
      <c r="BJ10" s="2">
        <v>0.5</v>
      </c>
      <c r="BK10" s="2">
        <v>1</v>
      </c>
      <c r="BL10" s="2">
        <v>0</v>
      </c>
      <c r="BM10" s="2">
        <v>21</v>
      </c>
      <c r="BN10" s="2">
        <v>10.44</v>
      </c>
      <c r="BO10" s="2">
        <v>16</v>
      </c>
      <c r="BP10" s="2">
        <v>7.96</v>
      </c>
      <c r="BQ10" s="2">
        <v>0.99</v>
      </c>
      <c r="BR10" s="5">
        <v>0.76</v>
      </c>
      <c r="BS10" s="2">
        <v>3</v>
      </c>
      <c r="BT10" s="2">
        <v>1.49</v>
      </c>
      <c r="BU10" s="2">
        <v>3</v>
      </c>
      <c r="BV10" s="2">
        <v>0</v>
      </c>
      <c r="BW10" s="2">
        <v>0</v>
      </c>
      <c r="BX10" s="5">
        <v>1</v>
      </c>
      <c r="BY10" s="2">
        <v>4</v>
      </c>
      <c r="BZ10" s="2">
        <v>1.99</v>
      </c>
      <c r="CA10" s="2">
        <v>7</v>
      </c>
      <c r="CB10" s="2">
        <v>3.48</v>
      </c>
      <c r="CC10" s="2">
        <v>5</v>
      </c>
      <c r="CD10" s="2">
        <v>2.4900000000000002</v>
      </c>
      <c r="CE10" s="2">
        <v>2.98</v>
      </c>
      <c r="CF10" s="2">
        <v>18.899999999999999</v>
      </c>
      <c r="CG10" s="2">
        <v>2</v>
      </c>
      <c r="CH10" s="2">
        <v>0.99</v>
      </c>
      <c r="CI10" s="2">
        <v>2</v>
      </c>
      <c r="CJ10" s="2">
        <v>0</v>
      </c>
      <c r="CK10" s="2">
        <v>0</v>
      </c>
      <c r="CL10" s="2">
        <v>0</v>
      </c>
      <c r="CM10" s="2">
        <v>0</v>
      </c>
      <c r="CN10" s="2" t="s">
        <v>102</v>
      </c>
      <c r="CO10" s="2">
        <v>0.5</v>
      </c>
      <c r="CP10" s="2" t="s">
        <v>181</v>
      </c>
    </row>
    <row r="11" spans="1:94" ht="12" thickBot="1" x14ac:dyDescent="0.2">
      <c r="A11" s="7">
        <v>29158450</v>
      </c>
      <c r="B11" s="2" t="s">
        <v>182</v>
      </c>
      <c r="C11" s="2" t="s">
        <v>117</v>
      </c>
      <c r="D11" s="2" t="s">
        <v>118</v>
      </c>
      <c r="E11" s="2" t="s">
        <v>183</v>
      </c>
      <c r="F11" s="2" t="s">
        <v>177</v>
      </c>
      <c r="G11" s="2"/>
      <c r="H11" s="2" t="s">
        <v>159</v>
      </c>
      <c r="I11" s="2">
        <v>25</v>
      </c>
      <c r="J11" s="2" t="s">
        <v>184</v>
      </c>
      <c r="K11" s="2" t="s">
        <v>185</v>
      </c>
      <c r="L11" s="3">
        <v>45838</v>
      </c>
      <c r="M11" s="2" t="s">
        <v>186</v>
      </c>
      <c r="N11" s="4">
        <v>3243</v>
      </c>
      <c r="O11" s="2">
        <v>87.65</v>
      </c>
      <c r="P11" s="2">
        <v>37</v>
      </c>
      <c r="Q11" s="2" t="s">
        <v>187</v>
      </c>
      <c r="R11" s="2" t="s">
        <v>172</v>
      </c>
      <c r="S11" s="2">
        <v>4.88</v>
      </c>
      <c r="T11" s="2">
        <v>7.04</v>
      </c>
      <c r="U11" s="2">
        <v>4</v>
      </c>
      <c r="V11" s="4">
        <v>2340</v>
      </c>
      <c r="W11" s="2">
        <v>64.94</v>
      </c>
      <c r="X11" s="4">
        <v>1839</v>
      </c>
      <c r="Y11" s="2">
        <v>51.04</v>
      </c>
      <c r="Z11" s="2">
        <v>4.1399999999999997</v>
      </c>
      <c r="AA11" s="2">
        <v>149</v>
      </c>
      <c r="AB11" s="2">
        <v>17</v>
      </c>
      <c r="AC11" s="2">
        <v>0.47</v>
      </c>
      <c r="AD11" s="2">
        <v>17</v>
      </c>
      <c r="AE11" s="2">
        <v>0.47</v>
      </c>
      <c r="AF11" s="5">
        <v>0.79</v>
      </c>
      <c r="AG11" s="2">
        <v>7</v>
      </c>
      <c r="AH11" s="2">
        <v>0.19</v>
      </c>
      <c r="AI11" s="2">
        <v>2.38</v>
      </c>
      <c r="AJ11" s="2">
        <v>7.0000000000000007E-2</v>
      </c>
      <c r="AK11" s="2">
        <v>15</v>
      </c>
      <c r="AL11" s="2">
        <v>0.42</v>
      </c>
      <c r="AM11" s="2">
        <v>5</v>
      </c>
      <c r="AN11" s="2">
        <v>0.14000000000000001</v>
      </c>
      <c r="AO11" s="5">
        <v>0.33</v>
      </c>
      <c r="AP11" s="2">
        <v>4</v>
      </c>
      <c r="AQ11" s="2">
        <v>0.11</v>
      </c>
      <c r="AR11" s="5">
        <v>0.2</v>
      </c>
      <c r="AS11" s="2">
        <v>2.37</v>
      </c>
      <c r="AT11" s="2">
        <v>0.16</v>
      </c>
      <c r="AU11" s="2">
        <v>3</v>
      </c>
      <c r="AV11" s="2">
        <v>0.08</v>
      </c>
      <c r="AW11" s="6">
        <v>1081</v>
      </c>
      <c r="AX11" s="2">
        <v>7.0000000000000007E-2</v>
      </c>
      <c r="AY11" s="2">
        <v>2.37</v>
      </c>
      <c r="AZ11" s="2">
        <v>7.0000000000000007E-2</v>
      </c>
      <c r="BA11" s="2">
        <v>0.63</v>
      </c>
      <c r="BB11" s="2">
        <v>52</v>
      </c>
      <c r="BC11" s="2">
        <v>1.44</v>
      </c>
      <c r="BD11" s="2">
        <v>1</v>
      </c>
      <c r="BE11" s="2">
        <v>0.03</v>
      </c>
      <c r="BF11" s="2">
        <v>0</v>
      </c>
      <c r="BG11" s="2">
        <v>0</v>
      </c>
      <c r="BH11" s="5">
        <v>0</v>
      </c>
      <c r="BI11" s="2">
        <v>4</v>
      </c>
      <c r="BJ11" s="2">
        <v>0.11</v>
      </c>
      <c r="BK11" s="2">
        <v>17</v>
      </c>
      <c r="BL11" s="2">
        <v>1</v>
      </c>
      <c r="BM11" s="2">
        <v>407</v>
      </c>
      <c r="BN11" s="2">
        <v>11.3</v>
      </c>
      <c r="BO11" s="2">
        <v>337</v>
      </c>
      <c r="BP11" s="2">
        <v>9.35</v>
      </c>
      <c r="BQ11" s="2">
        <v>0.67</v>
      </c>
      <c r="BR11" s="5">
        <v>0.83</v>
      </c>
      <c r="BS11" s="2">
        <v>37</v>
      </c>
      <c r="BT11" s="2">
        <v>0.86</v>
      </c>
      <c r="BU11" s="2">
        <v>31</v>
      </c>
      <c r="BV11" s="2">
        <v>9</v>
      </c>
      <c r="BW11" s="2">
        <v>0.25</v>
      </c>
      <c r="BX11" s="5">
        <v>0.84</v>
      </c>
      <c r="BY11" s="2">
        <v>135</v>
      </c>
      <c r="BZ11" s="2">
        <v>3.75</v>
      </c>
      <c r="CA11" s="2">
        <v>144</v>
      </c>
      <c r="CB11" s="2">
        <v>4</v>
      </c>
      <c r="CC11" s="2">
        <v>57</v>
      </c>
      <c r="CD11" s="2">
        <v>1.58</v>
      </c>
      <c r="CE11" s="2">
        <v>2.5499999999999998</v>
      </c>
      <c r="CF11" s="2">
        <v>21.81</v>
      </c>
      <c r="CG11" s="2">
        <v>65</v>
      </c>
      <c r="CH11" s="2">
        <v>1.8</v>
      </c>
      <c r="CI11" s="2">
        <v>32</v>
      </c>
      <c r="CJ11" s="2">
        <v>11</v>
      </c>
      <c r="CK11" s="2">
        <v>0</v>
      </c>
      <c r="CL11" s="2">
        <v>0</v>
      </c>
      <c r="CM11" s="2">
        <v>30</v>
      </c>
      <c r="CN11" s="2">
        <v>0.83</v>
      </c>
      <c r="CO11" s="2">
        <v>1.1100000000000001</v>
      </c>
      <c r="CP11" s="2"/>
    </row>
    <row r="12" spans="1:94" ht="12" thickBot="1" x14ac:dyDescent="0.2">
      <c r="A12" s="7">
        <v>29193653</v>
      </c>
      <c r="B12" s="2" t="s">
        <v>188</v>
      </c>
      <c r="C12" s="2" t="s">
        <v>189</v>
      </c>
      <c r="D12" s="2" t="s">
        <v>190</v>
      </c>
      <c r="E12" s="2" t="s">
        <v>191</v>
      </c>
      <c r="F12" s="2" t="s">
        <v>177</v>
      </c>
      <c r="G12" s="2"/>
      <c r="H12" s="2" t="s">
        <v>159</v>
      </c>
      <c r="I12" s="2">
        <v>23</v>
      </c>
      <c r="J12" s="2" t="s">
        <v>150</v>
      </c>
      <c r="K12" s="2" t="s">
        <v>192</v>
      </c>
      <c r="L12" s="3">
        <v>45838</v>
      </c>
      <c r="M12" s="2" t="s">
        <v>193</v>
      </c>
      <c r="N12" s="4">
        <v>2579</v>
      </c>
      <c r="O12" s="2">
        <v>83.19</v>
      </c>
      <c r="P12" s="2">
        <v>31</v>
      </c>
      <c r="Q12" s="2" t="s">
        <v>194</v>
      </c>
      <c r="R12" s="2" t="s">
        <v>163</v>
      </c>
      <c r="S12" s="2">
        <v>4.78</v>
      </c>
      <c r="T12" s="2">
        <v>6.74</v>
      </c>
      <c r="U12" s="2">
        <v>1</v>
      </c>
      <c r="V12" s="4">
        <v>1919</v>
      </c>
      <c r="W12" s="2">
        <v>66.97</v>
      </c>
      <c r="X12" s="4">
        <v>1504</v>
      </c>
      <c r="Y12" s="2">
        <v>52.49</v>
      </c>
      <c r="Z12" s="2">
        <v>4.29</v>
      </c>
      <c r="AA12" s="2">
        <v>123</v>
      </c>
      <c r="AB12" s="2">
        <v>15</v>
      </c>
      <c r="AC12" s="2">
        <v>0.52</v>
      </c>
      <c r="AD12" s="2">
        <v>15</v>
      </c>
      <c r="AE12" s="2">
        <v>0.52</v>
      </c>
      <c r="AF12" s="5">
        <v>0.78</v>
      </c>
      <c r="AG12" s="2">
        <v>2</v>
      </c>
      <c r="AH12" s="2">
        <v>7.0000000000000007E-2</v>
      </c>
      <c r="AI12" s="2">
        <v>1.19</v>
      </c>
      <c r="AJ12" s="2">
        <v>0.04</v>
      </c>
      <c r="AK12" s="2">
        <v>24</v>
      </c>
      <c r="AL12" s="2">
        <v>0.84</v>
      </c>
      <c r="AM12" s="2">
        <v>5</v>
      </c>
      <c r="AN12" s="2">
        <v>0.17</v>
      </c>
      <c r="AO12" s="5">
        <v>0.21</v>
      </c>
      <c r="AP12" s="2">
        <v>1</v>
      </c>
      <c r="AQ12" s="2">
        <v>0.03</v>
      </c>
      <c r="AR12" s="5">
        <v>0.04</v>
      </c>
      <c r="AS12" s="2">
        <v>2.5</v>
      </c>
      <c r="AT12" s="2">
        <v>0.1</v>
      </c>
      <c r="AU12" s="2">
        <v>1</v>
      </c>
      <c r="AV12" s="2">
        <v>0.03</v>
      </c>
      <c r="AW12" s="6">
        <v>2579</v>
      </c>
      <c r="AX12" s="2">
        <v>0.09</v>
      </c>
      <c r="AY12" s="2">
        <v>2.5</v>
      </c>
      <c r="AZ12" s="2">
        <v>0.09</v>
      </c>
      <c r="BA12" s="2">
        <v>-1.5</v>
      </c>
      <c r="BB12" s="2">
        <v>46</v>
      </c>
      <c r="BC12" s="2">
        <v>1.61</v>
      </c>
      <c r="BD12" s="2">
        <v>1</v>
      </c>
      <c r="BE12" s="2">
        <v>0.03</v>
      </c>
      <c r="BF12" s="2">
        <v>0</v>
      </c>
      <c r="BG12" s="2">
        <v>0</v>
      </c>
      <c r="BH12" s="5">
        <v>0</v>
      </c>
      <c r="BI12" s="2">
        <v>2</v>
      </c>
      <c r="BJ12" s="2">
        <v>7.0000000000000007E-2</v>
      </c>
      <c r="BK12" s="2">
        <v>12</v>
      </c>
      <c r="BL12" s="2">
        <v>0</v>
      </c>
      <c r="BM12" s="2">
        <v>427</v>
      </c>
      <c r="BN12" s="2">
        <v>14.9</v>
      </c>
      <c r="BO12" s="2">
        <v>334</v>
      </c>
      <c r="BP12" s="2">
        <v>11.66</v>
      </c>
      <c r="BQ12" s="2">
        <v>0.28000000000000003</v>
      </c>
      <c r="BR12" s="5">
        <v>0.78</v>
      </c>
      <c r="BS12" s="2">
        <v>18</v>
      </c>
      <c r="BT12" s="2">
        <v>0.56000000000000005</v>
      </c>
      <c r="BU12" s="2">
        <v>16</v>
      </c>
      <c r="BV12" s="2">
        <v>4</v>
      </c>
      <c r="BW12" s="2">
        <v>0.14000000000000001</v>
      </c>
      <c r="BX12" s="5">
        <v>0.89</v>
      </c>
      <c r="BY12" s="2">
        <v>112</v>
      </c>
      <c r="BZ12" s="2">
        <v>3.91</v>
      </c>
      <c r="CA12" s="2">
        <v>101</v>
      </c>
      <c r="CB12" s="2">
        <v>3.52</v>
      </c>
      <c r="CC12" s="2">
        <v>40</v>
      </c>
      <c r="CD12" s="2">
        <v>1.4</v>
      </c>
      <c r="CE12" s="2">
        <v>3.56</v>
      </c>
      <c r="CF12" s="2">
        <v>18.18</v>
      </c>
      <c r="CG12" s="2">
        <v>53</v>
      </c>
      <c r="CH12" s="2">
        <v>1.85</v>
      </c>
      <c r="CI12" s="2">
        <v>26</v>
      </c>
      <c r="CJ12" s="2">
        <v>5</v>
      </c>
      <c r="CK12" s="2">
        <v>1</v>
      </c>
      <c r="CL12" s="2">
        <v>0</v>
      </c>
      <c r="CM12" s="2">
        <v>26</v>
      </c>
      <c r="CN12" s="2">
        <v>0.91</v>
      </c>
      <c r="CO12" s="2">
        <v>1.05</v>
      </c>
      <c r="CP12" s="2"/>
    </row>
    <row r="13" spans="1:94" ht="12" thickBot="1" x14ac:dyDescent="0.2">
      <c r="A13" s="7">
        <v>49060933</v>
      </c>
      <c r="B13" s="2" t="s">
        <v>195</v>
      </c>
      <c r="C13" s="2" t="s">
        <v>196</v>
      </c>
      <c r="D13" s="2" t="s">
        <v>197</v>
      </c>
      <c r="E13" s="2" t="s">
        <v>198</v>
      </c>
      <c r="F13" s="2" t="s">
        <v>168</v>
      </c>
      <c r="G13" s="2"/>
      <c r="H13" s="2" t="s">
        <v>159</v>
      </c>
      <c r="I13" s="2">
        <v>21</v>
      </c>
      <c r="J13" s="2" t="s">
        <v>160</v>
      </c>
      <c r="K13" s="2" t="s">
        <v>199</v>
      </c>
      <c r="L13" s="3">
        <v>46934</v>
      </c>
      <c r="M13" s="2" t="s">
        <v>200</v>
      </c>
      <c r="N13" s="4">
        <v>1756</v>
      </c>
      <c r="O13" s="2">
        <v>79.819999999999993</v>
      </c>
      <c r="P13" s="2">
        <v>22</v>
      </c>
      <c r="Q13" s="2" t="s">
        <v>201</v>
      </c>
      <c r="R13" s="2" t="s">
        <v>202</v>
      </c>
      <c r="S13" s="2">
        <v>3.74</v>
      </c>
      <c r="T13" s="2">
        <v>6.94</v>
      </c>
      <c r="U13" s="2">
        <v>3</v>
      </c>
      <c r="V13" s="4">
        <v>1344</v>
      </c>
      <c r="W13" s="2">
        <v>68.88</v>
      </c>
      <c r="X13" s="4">
        <v>1178</v>
      </c>
      <c r="Y13" s="2">
        <v>60.38</v>
      </c>
      <c r="Z13" s="2">
        <v>4.51</v>
      </c>
      <c r="AA13" s="2">
        <v>88</v>
      </c>
      <c r="AB13" s="2">
        <v>7</v>
      </c>
      <c r="AC13" s="2">
        <v>0.36</v>
      </c>
      <c r="AD13" s="2">
        <v>7</v>
      </c>
      <c r="AE13" s="2">
        <v>0.36</v>
      </c>
      <c r="AF13" s="5">
        <v>0.88</v>
      </c>
      <c r="AG13" s="2">
        <v>3</v>
      </c>
      <c r="AH13" s="2">
        <v>0.15</v>
      </c>
      <c r="AI13" s="2">
        <v>1.45</v>
      </c>
      <c r="AJ13" s="2">
        <v>7.0000000000000007E-2</v>
      </c>
      <c r="AK13" s="2">
        <v>11</v>
      </c>
      <c r="AL13" s="2">
        <v>0.56000000000000005</v>
      </c>
      <c r="AM13" s="2">
        <v>2</v>
      </c>
      <c r="AN13" s="2">
        <v>0.1</v>
      </c>
      <c r="AO13" s="5">
        <v>0.18</v>
      </c>
      <c r="AP13" s="2">
        <v>1</v>
      </c>
      <c r="AQ13" s="2">
        <v>0.05</v>
      </c>
      <c r="AR13" s="2" t="s">
        <v>102</v>
      </c>
      <c r="AS13" s="2">
        <v>1.72</v>
      </c>
      <c r="AT13" s="2">
        <v>0.16</v>
      </c>
      <c r="AU13" s="2">
        <v>0</v>
      </c>
      <c r="AV13" s="2" t="s">
        <v>102</v>
      </c>
      <c r="AW13" s="2" t="s">
        <v>102</v>
      </c>
      <c r="AX13" s="2">
        <v>0.09</v>
      </c>
      <c r="AY13" s="2">
        <v>1.72</v>
      </c>
      <c r="AZ13" s="2">
        <v>0.09</v>
      </c>
      <c r="BA13" s="2">
        <v>-1.72</v>
      </c>
      <c r="BB13" s="2">
        <v>24</v>
      </c>
      <c r="BC13" s="2">
        <v>1.23</v>
      </c>
      <c r="BD13" s="2">
        <v>2</v>
      </c>
      <c r="BE13" s="2">
        <v>0.1</v>
      </c>
      <c r="BF13" s="2">
        <v>0</v>
      </c>
      <c r="BG13" s="2">
        <v>0</v>
      </c>
      <c r="BH13" s="5">
        <v>0</v>
      </c>
      <c r="BI13" s="2">
        <v>9</v>
      </c>
      <c r="BJ13" s="2">
        <v>0.46</v>
      </c>
      <c r="BK13" s="2">
        <v>4</v>
      </c>
      <c r="BL13" s="2">
        <v>0</v>
      </c>
      <c r="BM13" s="2">
        <v>185</v>
      </c>
      <c r="BN13" s="2">
        <v>9.48</v>
      </c>
      <c r="BO13" s="2">
        <v>144</v>
      </c>
      <c r="BP13" s="2">
        <v>7.38</v>
      </c>
      <c r="BQ13" s="2">
        <v>0.92</v>
      </c>
      <c r="BR13" s="5">
        <v>0.78</v>
      </c>
      <c r="BS13" s="2">
        <v>24</v>
      </c>
      <c r="BT13" s="2">
        <v>1.18</v>
      </c>
      <c r="BU13" s="2">
        <v>23</v>
      </c>
      <c r="BV13" s="2">
        <v>2</v>
      </c>
      <c r="BW13" s="2">
        <v>0.1</v>
      </c>
      <c r="BX13" s="5">
        <v>0.96</v>
      </c>
      <c r="BY13" s="2">
        <v>41</v>
      </c>
      <c r="BZ13" s="2">
        <v>2.1</v>
      </c>
      <c r="CA13" s="2">
        <v>67</v>
      </c>
      <c r="CB13" s="2">
        <v>3.43</v>
      </c>
      <c r="CC13" s="2">
        <v>29</v>
      </c>
      <c r="CD13" s="2">
        <v>1.49</v>
      </c>
      <c r="CE13" s="2">
        <v>3.23</v>
      </c>
      <c r="CF13" s="2">
        <v>19.48</v>
      </c>
      <c r="CG13" s="2">
        <v>21</v>
      </c>
      <c r="CH13" s="2">
        <v>1.08</v>
      </c>
      <c r="CI13" s="2">
        <v>14</v>
      </c>
      <c r="CJ13" s="2">
        <v>3</v>
      </c>
      <c r="CK13" s="2">
        <v>0</v>
      </c>
      <c r="CL13" s="2">
        <v>0</v>
      </c>
      <c r="CM13" s="2">
        <v>12</v>
      </c>
      <c r="CN13" s="2">
        <v>0.62</v>
      </c>
      <c r="CO13" s="2">
        <v>1.18</v>
      </c>
      <c r="CP13" s="2"/>
    </row>
    <row r="14" spans="1:94" ht="12" thickBot="1" x14ac:dyDescent="0.2">
      <c r="A14" s="7">
        <v>59093382</v>
      </c>
      <c r="B14" s="2" t="s">
        <v>203</v>
      </c>
      <c r="C14" s="2" t="s">
        <v>196</v>
      </c>
      <c r="D14" s="2" t="s">
        <v>197</v>
      </c>
      <c r="E14" s="2" t="s">
        <v>204</v>
      </c>
      <c r="F14" s="2" t="s">
        <v>205</v>
      </c>
      <c r="G14" s="2"/>
      <c r="H14" s="2" t="s">
        <v>159</v>
      </c>
      <c r="I14" s="2">
        <v>25</v>
      </c>
      <c r="J14" s="2" t="s">
        <v>150</v>
      </c>
      <c r="K14" s="2" t="s">
        <v>142</v>
      </c>
      <c r="L14" s="3">
        <v>46203</v>
      </c>
      <c r="M14" s="2" t="s">
        <v>206</v>
      </c>
      <c r="N14" s="4">
        <v>2376</v>
      </c>
      <c r="O14" s="2">
        <v>69.88</v>
      </c>
      <c r="P14" s="2" t="s">
        <v>207</v>
      </c>
      <c r="Q14" s="2" t="s">
        <v>208</v>
      </c>
      <c r="R14" s="2" t="s">
        <v>209</v>
      </c>
      <c r="S14" s="2">
        <v>6.44</v>
      </c>
      <c r="T14" s="2">
        <v>7.06</v>
      </c>
      <c r="U14" s="2">
        <v>1</v>
      </c>
      <c r="V14" s="4">
        <v>1704</v>
      </c>
      <c r="W14" s="2">
        <v>64.55</v>
      </c>
      <c r="X14" s="4">
        <v>1557</v>
      </c>
      <c r="Y14" s="2">
        <v>58.98</v>
      </c>
      <c r="Z14" s="2">
        <v>3.83</v>
      </c>
      <c r="AA14" s="2">
        <v>101</v>
      </c>
      <c r="AB14" s="2">
        <v>6</v>
      </c>
      <c r="AC14" s="2">
        <v>0.23</v>
      </c>
      <c r="AD14" s="2">
        <v>6</v>
      </c>
      <c r="AE14" s="2">
        <v>0.23</v>
      </c>
      <c r="AF14" s="5">
        <v>0.91</v>
      </c>
      <c r="AG14" s="2">
        <v>1</v>
      </c>
      <c r="AH14" s="2">
        <v>0.04</v>
      </c>
      <c r="AI14" s="2">
        <v>0.73</v>
      </c>
      <c r="AJ14" s="2">
        <v>0.03</v>
      </c>
      <c r="AK14" s="2">
        <v>12</v>
      </c>
      <c r="AL14" s="2">
        <v>0.45</v>
      </c>
      <c r="AM14" s="2">
        <v>5</v>
      </c>
      <c r="AN14" s="2">
        <v>0.19</v>
      </c>
      <c r="AO14" s="5">
        <v>0.42</v>
      </c>
      <c r="AP14" s="2">
        <v>1</v>
      </c>
      <c r="AQ14" s="2">
        <v>0.04</v>
      </c>
      <c r="AR14" s="5">
        <v>0.17</v>
      </c>
      <c r="AS14" s="2">
        <v>0.68</v>
      </c>
      <c r="AT14" s="2">
        <v>0.06</v>
      </c>
      <c r="AU14" s="2">
        <v>2</v>
      </c>
      <c r="AV14" s="2">
        <v>0.08</v>
      </c>
      <c r="AW14" s="6">
        <v>1188</v>
      </c>
      <c r="AX14" s="2">
        <v>0.03</v>
      </c>
      <c r="AY14" s="2">
        <v>0.68</v>
      </c>
      <c r="AZ14" s="2">
        <v>0.03</v>
      </c>
      <c r="BA14" s="2">
        <v>1.32</v>
      </c>
      <c r="BB14" s="2">
        <v>48</v>
      </c>
      <c r="BC14" s="2">
        <v>1.82</v>
      </c>
      <c r="BD14" s="2">
        <v>1</v>
      </c>
      <c r="BE14" s="2">
        <v>0.04</v>
      </c>
      <c r="BF14" s="2">
        <v>0</v>
      </c>
      <c r="BG14" s="2">
        <v>0</v>
      </c>
      <c r="BH14" s="5">
        <v>0</v>
      </c>
      <c r="BI14" s="2">
        <v>5</v>
      </c>
      <c r="BJ14" s="2">
        <v>0.19</v>
      </c>
      <c r="BK14" s="2">
        <v>4</v>
      </c>
      <c r="BL14" s="2">
        <v>1</v>
      </c>
      <c r="BM14" s="2">
        <v>295</v>
      </c>
      <c r="BN14" s="2">
        <v>11.17</v>
      </c>
      <c r="BO14" s="2">
        <v>238</v>
      </c>
      <c r="BP14" s="2">
        <v>9.02</v>
      </c>
      <c r="BQ14" s="2">
        <v>0.76</v>
      </c>
      <c r="BR14" s="5">
        <v>0.81</v>
      </c>
      <c r="BS14" s="2">
        <v>37</v>
      </c>
      <c r="BT14" s="2">
        <v>1.1399999999999999</v>
      </c>
      <c r="BU14" s="2">
        <v>30</v>
      </c>
      <c r="BV14" s="2">
        <v>11</v>
      </c>
      <c r="BW14" s="2">
        <v>0.42</v>
      </c>
      <c r="BX14" s="5">
        <v>0.81</v>
      </c>
      <c r="BY14" s="2">
        <v>93</v>
      </c>
      <c r="BZ14" s="2">
        <v>3.52</v>
      </c>
      <c r="CA14" s="2">
        <v>106</v>
      </c>
      <c r="CB14" s="2">
        <v>4.0199999999999996</v>
      </c>
      <c r="CC14" s="2">
        <v>44</v>
      </c>
      <c r="CD14" s="2">
        <v>1.67</v>
      </c>
      <c r="CE14" s="2">
        <v>6.93</v>
      </c>
      <c r="CF14" s="2">
        <v>20.72</v>
      </c>
      <c r="CG14" s="2">
        <v>23</v>
      </c>
      <c r="CH14" s="2">
        <v>0.87</v>
      </c>
      <c r="CI14" s="2">
        <v>17</v>
      </c>
      <c r="CJ14" s="2">
        <v>5</v>
      </c>
      <c r="CK14" s="2">
        <v>0</v>
      </c>
      <c r="CL14" s="2">
        <v>1</v>
      </c>
      <c r="CM14" s="2">
        <v>13</v>
      </c>
      <c r="CN14" s="2">
        <v>0.49</v>
      </c>
      <c r="CO14" s="2">
        <v>0.91</v>
      </c>
      <c r="CP14" s="2"/>
    </row>
    <row r="15" spans="1:94" ht="12" thickBot="1" x14ac:dyDescent="0.2">
      <c r="A15" s="7">
        <v>62220026</v>
      </c>
      <c r="B15" s="2" t="s">
        <v>210</v>
      </c>
      <c r="C15" s="2" t="s">
        <v>211</v>
      </c>
      <c r="D15" s="2" t="s">
        <v>212</v>
      </c>
      <c r="E15" s="2" t="s">
        <v>213</v>
      </c>
      <c r="F15" s="2" t="s">
        <v>214</v>
      </c>
      <c r="G15" s="2"/>
      <c r="H15" s="2" t="s">
        <v>159</v>
      </c>
      <c r="I15" s="2">
        <v>22</v>
      </c>
      <c r="J15" s="2" t="s">
        <v>122</v>
      </c>
      <c r="K15" s="2" t="s">
        <v>215</v>
      </c>
      <c r="L15" s="3">
        <v>46568</v>
      </c>
      <c r="M15" s="2" t="s">
        <v>216</v>
      </c>
      <c r="N15" s="4">
        <v>1550</v>
      </c>
      <c r="O15" s="2">
        <v>86.11</v>
      </c>
      <c r="P15" s="2">
        <v>18</v>
      </c>
      <c r="Q15" s="2" t="s">
        <v>217</v>
      </c>
      <c r="R15" s="2" t="s">
        <v>154</v>
      </c>
      <c r="S15" s="2">
        <v>5.28</v>
      </c>
      <c r="T15" s="2">
        <v>6.9</v>
      </c>
      <c r="U15" s="2">
        <v>1</v>
      </c>
      <c r="V15" s="4">
        <v>1101</v>
      </c>
      <c r="W15" s="2">
        <v>63.93</v>
      </c>
      <c r="X15" s="2">
        <v>989</v>
      </c>
      <c r="Y15" s="2">
        <v>57.43</v>
      </c>
      <c r="Z15" s="2">
        <v>4.3</v>
      </c>
      <c r="AA15" s="2">
        <v>74</v>
      </c>
      <c r="AB15" s="2">
        <v>0</v>
      </c>
      <c r="AC15" s="2" t="s">
        <v>102</v>
      </c>
      <c r="AD15" s="2">
        <v>0</v>
      </c>
      <c r="AE15" s="2">
        <v>0</v>
      </c>
      <c r="AF15" s="5">
        <v>0.9</v>
      </c>
      <c r="AG15" s="2">
        <v>0</v>
      </c>
      <c r="AH15" s="2" t="s">
        <v>102</v>
      </c>
      <c r="AI15" s="2">
        <v>0.5</v>
      </c>
      <c r="AJ15" s="2">
        <v>0.03</v>
      </c>
      <c r="AK15" s="2">
        <v>9</v>
      </c>
      <c r="AL15" s="2">
        <v>0.52</v>
      </c>
      <c r="AM15" s="2">
        <v>0</v>
      </c>
      <c r="AN15" s="2">
        <v>0</v>
      </c>
      <c r="AO15" s="5">
        <v>0</v>
      </c>
      <c r="AP15" s="2">
        <v>2</v>
      </c>
      <c r="AQ15" s="2">
        <v>0.12</v>
      </c>
      <c r="AR15" s="2" t="s">
        <v>102</v>
      </c>
      <c r="AS15" s="2">
        <v>1.1399999999999999</v>
      </c>
      <c r="AT15" s="2">
        <v>0.13</v>
      </c>
      <c r="AU15" s="2">
        <v>0</v>
      </c>
      <c r="AV15" s="2" t="s">
        <v>102</v>
      </c>
      <c r="AW15" s="2" t="s">
        <v>102</v>
      </c>
      <c r="AX15" s="2">
        <v>7.0000000000000007E-2</v>
      </c>
      <c r="AY15" s="2">
        <v>1.1399999999999999</v>
      </c>
      <c r="AZ15" s="2">
        <v>7.0000000000000007E-2</v>
      </c>
      <c r="BA15" s="2">
        <v>-1.1399999999999999</v>
      </c>
      <c r="BB15" s="2">
        <v>32</v>
      </c>
      <c r="BC15" s="2">
        <v>1.86</v>
      </c>
      <c r="BD15" s="2">
        <v>2</v>
      </c>
      <c r="BE15" s="2">
        <v>0.12</v>
      </c>
      <c r="BF15" s="2">
        <v>1</v>
      </c>
      <c r="BG15" s="2">
        <v>0.06</v>
      </c>
      <c r="BH15" s="5">
        <v>0.5</v>
      </c>
      <c r="BI15" s="2">
        <v>3</v>
      </c>
      <c r="BJ15" s="2">
        <v>0.17</v>
      </c>
      <c r="BK15" s="2">
        <v>3</v>
      </c>
      <c r="BL15" s="2">
        <v>1</v>
      </c>
      <c r="BM15" s="2">
        <v>149</v>
      </c>
      <c r="BN15" s="2">
        <v>8.65</v>
      </c>
      <c r="BO15" s="2">
        <v>115</v>
      </c>
      <c r="BP15" s="2">
        <v>6.68</v>
      </c>
      <c r="BQ15" s="2">
        <v>0.81</v>
      </c>
      <c r="BR15" s="5">
        <v>0.77</v>
      </c>
      <c r="BS15" s="2">
        <v>24</v>
      </c>
      <c r="BT15" s="2">
        <v>1.34</v>
      </c>
      <c r="BU15" s="2">
        <v>23</v>
      </c>
      <c r="BV15" s="2">
        <v>5</v>
      </c>
      <c r="BW15" s="2">
        <v>0.28999999999999998</v>
      </c>
      <c r="BX15" s="5">
        <v>0.96</v>
      </c>
      <c r="BY15" s="2">
        <v>42</v>
      </c>
      <c r="BZ15" s="2">
        <v>2.44</v>
      </c>
      <c r="CA15" s="2">
        <v>76</v>
      </c>
      <c r="CB15" s="2">
        <v>4.41</v>
      </c>
      <c r="CC15" s="2">
        <v>33</v>
      </c>
      <c r="CD15" s="2">
        <v>1.92</v>
      </c>
      <c r="CE15" s="2">
        <v>3.19</v>
      </c>
      <c r="CF15" s="2">
        <v>18.64</v>
      </c>
      <c r="CG15" s="2">
        <v>18</v>
      </c>
      <c r="CH15" s="2">
        <v>1.05</v>
      </c>
      <c r="CI15" s="2">
        <v>17</v>
      </c>
      <c r="CJ15" s="2">
        <v>5</v>
      </c>
      <c r="CK15" s="2">
        <v>0</v>
      </c>
      <c r="CL15" s="2">
        <v>0</v>
      </c>
      <c r="CM15" s="2">
        <v>12</v>
      </c>
      <c r="CN15" s="2">
        <v>0.7</v>
      </c>
      <c r="CO15" s="2">
        <v>1.1599999999999999</v>
      </c>
      <c r="CP15" s="2"/>
    </row>
    <row r="16" spans="1:94" ht="12" thickBot="1" x14ac:dyDescent="0.2">
      <c r="A16" s="7">
        <v>67144545</v>
      </c>
      <c r="B16" s="2" t="s">
        <v>218</v>
      </c>
      <c r="C16" s="2" t="s">
        <v>219</v>
      </c>
      <c r="D16" s="2" t="s">
        <v>220</v>
      </c>
      <c r="E16" s="2" t="s">
        <v>221</v>
      </c>
      <c r="F16" s="2" t="s">
        <v>131</v>
      </c>
      <c r="G16" s="2"/>
      <c r="H16" s="2" t="s">
        <v>159</v>
      </c>
      <c r="I16" s="2">
        <v>32</v>
      </c>
      <c r="J16" s="2" t="s">
        <v>100</v>
      </c>
      <c r="K16" s="2" t="s">
        <v>222</v>
      </c>
      <c r="L16" s="3">
        <v>45838</v>
      </c>
      <c r="M16" s="2" t="s">
        <v>223</v>
      </c>
      <c r="N16" s="4">
        <v>2101</v>
      </c>
      <c r="O16" s="2">
        <v>75.040000000000006</v>
      </c>
      <c r="P16" s="2" t="s">
        <v>134</v>
      </c>
      <c r="Q16" s="2" t="s">
        <v>224</v>
      </c>
      <c r="R16" s="2" t="s">
        <v>225</v>
      </c>
      <c r="S16" s="2">
        <v>5.48</v>
      </c>
      <c r="T16" s="2">
        <v>7.07</v>
      </c>
      <c r="U16" s="2">
        <v>1</v>
      </c>
      <c r="V16" s="4">
        <v>2140</v>
      </c>
      <c r="W16" s="2">
        <v>91.67</v>
      </c>
      <c r="X16" s="4">
        <v>1963</v>
      </c>
      <c r="Y16" s="2">
        <v>84.09</v>
      </c>
      <c r="Z16" s="2">
        <v>4.33</v>
      </c>
      <c r="AA16" s="2">
        <v>101</v>
      </c>
      <c r="AB16" s="2">
        <v>4</v>
      </c>
      <c r="AC16" s="2">
        <v>0.17</v>
      </c>
      <c r="AD16" s="2">
        <v>4</v>
      </c>
      <c r="AE16" s="2">
        <v>0.17</v>
      </c>
      <c r="AF16" s="5">
        <v>0.92</v>
      </c>
      <c r="AG16" s="2">
        <v>0</v>
      </c>
      <c r="AH16" s="2" t="s">
        <v>102</v>
      </c>
      <c r="AI16" s="2">
        <v>0.21</v>
      </c>
      <c r="AJ16" s="2">
        <v>0.01</v>
      </c>
      <c r="AK16" s="2">
        <v>15</v>
      </c>
      <c r="AL16" s="2">
        <v>0.64</v>
      </c>
      <c r="AM16" s="2">
        <v>7</v>
      </c>
      <c r="AN16" s="2">
        <v>0.3</v>
      </c>
      <c r="AO16" s="5">
        <v>0.47</v>
      </c>
      <c r="AP16" s="2">
        <v>1</v>
      </c>
      <c r="AQ16" s="2">
        <v>0.04</v>
      </c>
      <c r="AR16" s="5">
        <v>7.0000000000000007E-2</v>
      </c>
      <c r="AS16" s="2">
        <v>0.81</v>
      </c>
      <c r="AT16" s="2">
        <v>0.05</v>
      </c>
      <c r="AU16" s="2">
        <v>1</v>
      </c>
      <c r="AV16" s="2">
        <v>0.04</v>
      </c>
      <c r="AW16" s="6">
        <v>2101</v>
      </c>
      <c r="AX16" s="2">
        <v>0.03</v>
      </c>
      <c r="AY16" s="2">
        <v>0.81</v>
      </c>
      <c r="AZ16" s="2">
        <v>0.03</v>
      </c>
      <c r="BA16" s="2">
        <v>0.19</v>
      </c>
      <c r="BB16" s="2">
        <v>37</v>
      </c>
      <c r="BC16" s="2">
        <v>1.58</v>
      </c>
      <c r="BD16" s="2">
        <v>4</v>
      </c>
      <c r="BE16" s="2">
        <v>0.17</v>
      </c>
      <c r="BF16" s="2">
        <v>2</v>
      </c>
      <c r="BG16" s="2">
        <v>0.09</v>
      </c>
      <c r="BH16" s="5">
        <v>0.5</v>
      </c>
      <c r="BI16" s="2">
        <v>9</v>
      </c>
      <c r="BJ16" s="2">
        <v>0.39</v>
      </c>
      <c r="BK16" s="2">
        <v>4</v>
      </c>
      <c r="BL16" s="2">
        <v>1</v>
      </c>
      <c r="BM16" s="2">
        <v>236</v>
      </c>
      <c r="BN16" s="2">
        <v>10.11</v>
      </c>
      <c r="BO16" s="2">
        <v>197</v>
      </c>
      <c r="BP16" s="2">
        <v>8.44</v>
      </c>
      <c r="BQ16" s="2">
        <v>0.56000000000000005</v>
      </c>
      <c r="BR16" s="5">
        <v>0.83</v>
      </c>
      <c r="BS16" s="2">
        <v>33</v>
      </c>
      <c r="BT16" s="2">
        <v>1.1599999999999999</v>
      </c>
      <c r="BU16" s="2">
        <v>27</v>
      </c>
      <c r="BV16" s="2">
        <v>7</v>
      </c>
      <c r="BW16" s="2">
        <v>0.3</v>
      </c>
      <c r="BX16" s="5">
        <v>0.82</v>
      </c>
      <c r="BY16" s="2">
        <v>96</v>
      </c>
      <c r="BZ16" s="2">
        <v>4.1100000000000003</v>
      </c>
      <c r="CA16" s="2">
        <v>107</v>
      </c>
      <c r="CB16" s="2">
        <v>4.58</v>
      </c>
      <c r="CC16" s="2">
        <v>52</v>
      </c>
      <c r="CD16" s="2">
        <v>2.23</v>
      </c>
      <c r="CE16" s="2">
        <v>9.5500000000000007</v>
      </c>
      <c r="CF16" s="2">
        <v>21.33</v>
      </c>
      <c r="CG16" s="2">
        <v>27</v>
      </c>
      <c r="CH16" s="2">
        <v>1.1599999999999999</v>
      </c>
      <c r="CI16" s="2">
        <v>16</v>
      </c>
      <c r="CJ16" s="2">
        <v>4</v>
      </c>
      <c r="CK16" s="2">
        <v>0</v>
      </c>
      <c r="CL16" s="2">
        <v>1</v>
      </c>
      <c r="CM16" s="2">
        <v>11</v>
      </c>
      <c r="CN16" s="2">
        <v>0.47</v>
      </c>
      <c r="CO16" s="2">
        <v>1.03</v>
      </c>
      <c r="CP16" s="2" t="s">
        <v>226</v>
      </c>
    </row>
    <row r="17" spans="1:94" ht="12" thickBot="1" x14ac:dyDescent="0.2">
      <c r="A17" s="7">
        <v>67267209</v>
      </c>
      <c r="B17" s="2" t="s">
        <v>227</v>
      </c>
      <c r="C17" s="2" t="s">
        <v>228</v>
      </c>
      <c r="D17" s="2" t="s">
        <v>229</v>
      </c>
      <c r="E17" s="2" t="s">
        <v>230</v>
      </c>
      <c r="F17" s="2" t="s">
        <v>131</v>
      </c>
      <c r="G17" s="2" t="s">
        <v>231</v>
      </c>
      <c r="H17" s="2" t="s">
        <v>159</v>
      </c>
      <c r="I17" s="2">
        <v>23</v>
      </c>
      <c r="J17" s="2" t="s">
        <v>150</v>
      </c>
      <c r="K17" s="2" t="s">
        <v>232</v>
      </c>
      <c r="L17" s="3">
        <v>46203</v>
      </c>
      <c r="M17" s="2" t="s">
        <v>233</v>
      </c>
      <c r="N17" s="4">
        <v>1264</v>
      </c>
      <c r="O17" s="2">
        <v>84.27</v>
      </c>
      <c r="P17" s="2">
        <v>15</v>
      </c>
      <c r="Q17" s="2" t="s">
        <v>234</v>
      </c>
      <c r="R17" s="2" t="s">
        <v>235</v>
      </c>
      <c r="S17" s="2">
        <v>4.34</v>
      </c>
      <c r="T17" s="2">
        <v>6.71</v>
      </c>
      <c r="U17" s="2">
        <v>0</v>
      </c>
      <c r="V17" s="2">
        <v>859</v>
      </c>
      <c r="W17" s="2">
        <v>61.16</v>
      </c>
      <c r="X17" s="2">
        <v>564</v>
      </c>
      <c r="Y17" s="2">
        <v>40.159999999999997</v>
      </c>
      <c r="Z17" s="2">
        <v>3.49</v>
      </c>
      <c r="AA17" s="2">
        <v>49</v>
      </c>
      <c r="AB17" s="2">
        <v>1</v>
      </c>
      <c r="AC17" s="2">
        <v>7.0000000000000007E-2</v>
      </c>
      <c r="AD17" s="2">
        <v>1</v>
      </c>
      <c r="AE17" s="2">
        <v>7.0000000000000007E-2</v>
      </c>
      <c r="AF17" s="5">
        <v>0.66</v>
      </c>
      <c r="AG17" s="2">
        <v>0</v>
      </c>
      <c r="AH17" s="2" t="s">
        <v>102</v>
      </c>
      <c r="AI17" s="2">
        <v>0.14000000000000001</v>
      </c>
      <c r="AJ17" s="2">
        <v>0.01</v>
      </c>
      <c r="AK17" s="2">
        <v>6</v>
      </c>
      <c r="AL17" s="2">
        <v>0.43</v>
      </c>
      <c r="AM17" s="2">
        <v>1</v>
      </c>
      <c r="AN17" s="2">
        <v>7.0000000000000007E-2</v>
      </c>
      <c r="AO17" s="5">
        <v>0.17</v>
      </c>
      <c r="AP17" s="2">
        <v>0</v>
      </c>
      <c r="AQ17" s="2" t="s">
        <v>102</v>
      </c>
      <c r="AR17" s="2" t="s">
        <v>102</v>
      </c>
      <c r="AS17" s="2">
        <v>0.56000000000000005</v>
      </c>
      <c r="AT17" s="2">
        <v>0.09</v>
      </c>
      <c r="AU17" s="2">
        <v>0</v>
      </c>
      <c r="AV17" s="2" t="s">
        <v>102</v>
      </c>
      <c r="AW17" s="2" t="s">
        <v>102</v>
      </c>
      <c r="AX17" s="2">
        <v>0.04</v>
      </c>
      <c r="AY17" s="2">
        <v>0.56000000000000005</v>
      </c>
      <c r="AZ17" s="2">
        <v>0.04</v>
      </c>
      <c r="BA17" s="2">
        <v>-0.56000000000000005</v>
      </c>
      <c r="BB17" s="2">
        <v>12</v>
      </c>
      <c r="BC17" s="2">
        <v>0.85</v>
      </c>
      <c r="BD17" s="2">
        <v>0</v>
      </c>
      <c r="BE17" s="2">
        <v>0</v>
      </c>
      <c r="BF17" s="2">
        <v>0</v>
      </c>
      <c r="BG17" s="2">
        <v>0</v>
      </c>
      <c r="BH17" s="5">
        <v>0</v>
      </c>
      <c r="BI17" s="2">
        <v>2</v>
      </c>
      <c r="BJ17" s="2">
        <v>0.14000000000000001</v>
      </c>
      <c r="BK17" s="2">
        <v>5</v>
      </c>
      <c r="BL17" s="2">
        <v>0</v>
      </c>
      <c r="BM17" s="2">
        <v>209</v>
      </c>
      <c r="BN17" s="2">
        <v>14.88</v>
      </c>
      <c r="BO17" s="2">
        <v>157</v>
      </c>
      <c r="BP17" s="2">
        <v>11.18</v>
      </c>
      <c r="BQ17" s="2">
        <v>1.21</v>
      </c>
      <c r="BR17" s="5">
        <v>0.75</v>
      </c>
      <c r="BS17" s="2">
        <v>12</v>
      </c>
      <c r="BT17" s="2">
        <v>0.85</v>
      </c>
      <c r="BU17" s="2">
        <v>12</v>
      </c>
      <c r="BV17" s="2">
        <v>2</v>
      </c>
      <c r="BW17" s="2">
        <v>0.14000000000000001</v>
      </c>
      <c r="BX17" s="5">
        <v>1</v>
      </c>
      <c r="BY17" s="2">
        <v>59</v>
      </c>
      <c r="BZ17" s="2">
        <v>4.2</v>
      </c>
      <c r="CA17" s="2">
        <v>49</v>
      </c>
      <c r="CB17" s="2">
        <v>3.49</v>
      </c>
      <c r="CC17" s="2">
        <v>22</v>
      </c>
      <c r="CD17" s="2">
        <v>1.57</v>
      </c>
      <c r="CE17" s="2">
        <v>6.91</v>
      </c>
      <c r="CF17" s="2">
        <v>19.649999999999999</v>
      </c>
      <c r="CG17" s="2">
        <v>28</v>
      </c>
      <c r="CH17" s="2">
        <v>1.99</v>
      </c>
      <c r="CI17" s="2">
        <v>13</v>
      </c>
      <c r="CJ17" s="2">
        <v>3</v>
      </c>
      <c r="CK17" s="2">
        <v>1</v>
      </c>
      <c r="CL17" s="2">
        <v>0</v>
      </c>
      <c r="CM17" s="2">
        <v>9</v>
      </c>
      <c r="CN17" s="2">
        <v>0.64</v>
      </c>
      <c r="CO17" s="2">
        <v>1.1399999999999999</v>
      </c>
      <c r="CP17" s="2" t="s">
        <v>236</v>
      </c>
    </row>
    <row r="18" spans="1:94" ht="12" thickBot="1" x14ac:dyDescent="0.2">
      <c r="A18" s="7">
        <v>91184447</v>
      </c>
      <c r="B18" s="2" t="s">
        <v>237</v>
      </c>
      <c r="C18" s="2" t="s">
        <v>238</v>
      </c>
      <c r="D18" s="2" t="s">
        <v>239</v>
      </c>
      <c r="E18" s="2" t="s">
        <v>240</v>
      </c>
      <c r="F18" s="2" t="s">
        <v>241</v>
      </c>
      <c r="G18" s="2" t="s">
        <v>98</v>
      </c>
      <c r="H18" s="2" t="s">
        <v>159</v>
      </c>
      <c r="I18" s="2">
        <v>24</v>
      </c>
      <c r="J18" s="2" t="s">
        <v>184</v>
      </c>
      <c r="K18" s="2" t="s">
        <v>242</v>
      </c>
      <c r="L18" s="3">
        <v>46568</v>
      </c>
      <c r="M18" s="2" t="s">
        <v>243</v>
      </c>
      <c r="N18" s="4">
        <v>1939</v>
      </c>
      <c r="O18" s="2">
        <v>88.14</v>
      </c>
      <c r="P18" s="2">
        <v>22</v>
      </c>
      <c r="Q18" s="2" t="s">
        <v>244</v>
      </c>
      <c r="R18" s="2" t="s">
        <v>225</v>
      </c>
      <c r="S18" s="2">
        <v>4.18</v>
      </c>
      <c r="T18" s="2">
        <v>7.02</v>
      </c>
      <c r="U18" s="2">
        <v>0</v>
      </c>
      <c r="V18" s="4">
        <v>1426</v>
      </c>
      <c r="W18" s="2">
        <v>66.19</v>
      </c>
      <c r="X18" s="4">
        <v>1271</v>
      </c>
      <c r="Y18" s="2">
        <v>58.99</v>
      </c>
      <c r="Z18" s="2">
        <v>4.41</v>
      </c>
      <c r="AA18" s="2">
        <v>95</v>
      </c>
      <c r="AB18" s="2">
        <v>8</v>
      </c>
      <c r="AC18" s="2">
        <v>0.37</v>
      </c>
      <c r="AD18" s="2">
        <v>8</v>
      </c>
      <c r="AE18" s="2">
        <v>0.37</v>
      </c>
      <c r="AF18" s="5">
        <v>0.89</v>
      </c>
      <c r="AG18" s="2">
        <v>1</v>
      </c>
      <c r="AH18" s="2">
        <v>0.05</v>
      </c>
      <c r="AI18" s="2">
        <v>0.63</v>
      </c>
      <c r="AJ18" s="2">
        <v>0.03</v>
      </c>
      <c r="AK18" s="2">
        <v>13</v>
      </c>
      <c r="AL18" s="2">
        <v>0.6</v>
      </c>
      <c r="AM18" s="2">
        <v>3</v>
      </c>
      <c r="AN18" s="2">
        <v>0.14000000000000001</v>
      </c>
      <c r="AO18" s="5">
        <v>0.23</v>
      </c>
      <c r="AP18" s="2">
        <v>0</v>
      </c>
      <c r="AQ18" s="2" t="s">
        <v>102</v>
      </c>
      <c r="AR18" s="2" t="s">
        <v>102</v>
      </c>
      <c r="AS18" s="2">
        <v>1.66</v>
      </c>
      <c r="AT18" s="2">
        <v>0.13</v>
      </c>
      <c r="AU18" s="2">
        <v>0</v>
      </c>
      <c r="AV18" s="2" t="s">
        <v>102</v>
      </c>
      <c r="AW18" s="2" t="s">
        <v>102</v>
      </c>
      <c r="AX18" s="2">
        <v>0.08</v>
      </c>
      <c r="AY18" s="2">
        <v>1.66</v>
      </c>
      <c r="AZ18" s="2">
        <v>0.08</v>
      </c>
      <c r="BA18" s="2">
        <v>-1.66</v>
      </c>
      <c r="BB18" s="2">
        <v>27</v>
      </c>
      <c r="BC18" s="2">
        <v>1.25</v>
      </c>
      <c r="BD18" s="2">
        <v>0</v>
      </c>
      <c r="BE18" s="2">
        <v>0</v>
      </c>
      <c r="BF18" s="2">
        <v>0</v>
      </c>
      <c r="BG18" s="2">
        <v>0</v>
      </c>
      <c r="BH18" s="5">
        <v>0</v>
      </c>
      <c r="BI18" s="2">
        <v>7</v>
      </c>
      <c r="BJ18" s="2">
        <v>0.32</v>
      </c>
      <c r="BK18" s="2">
        <v>19</v>
      </c>
      <c r="BL18" s="2">
        <v>0</v>
      </c>
      <c r="BM18" s="2">
        <v>183</v>
      </c>
      <c r="BN18" s="2">
        <v>8.49</v>
      </c>
      <c r="BO18" s="2">
        <v>141</v>
      </c>
      <c r="BP18" s="2">
        <v>6.54</v>
      </c>
      <c r="BQ18" s="2">
        <v>0.79</v>
      </c>
      <c r="BR18" s="5">
        <v>0.77</v>
      </c>
      <c r="BS18" s="2">
        <v>24</v>
      </c>
      <c r="BT18" s="2">
        <v>0.97</v>
      </c>
      <c r="BU18" s="2">
        <v>21</v>
      </c>
      <c r="BV18" s="2">
        <v>6</v>
      </c>
      <c r="BW18" s="2">
        <v>0.28000000000000003</v>
      </c>
      <c r="BX18" s="5">
        <v>0.88</v>
      </c>
      <c r="BY18" s="2">
        <v>65</v>
      </c>
      <c r="BZ18" s="2">
        <v>3.02</v>
      </c>
      <c r="CA18" s="2">
        <v>69</v>
      </c>
      <c r="CB18" s="2">
        <v>3.2</v>
      </c>
      <c r="CC18" s="2">
        <v>29</v>
      </c>
      <c r="CD18" s="2">
        <v>1.35</v>
      </c>
      <c r="CE18" s="2">
        <v>2.5099999999999998</v>
      </c>
      <c r="CF18" s="2">
        <v>18.29</v>
      </c>
      <c r="CG18" s="2">
        <v>27</v>
      </c>
      <c r="CH18" s="2">
        <v>1.25</v>
      </c>
      <c r="CI18" s="2">
        <v>20</v>
      </c>
      <c r="CJ18" s="2">
        <v>5</v>
      </c>
      <c r="CK18" s="2">
        <v>0</v>
      </c>
      <c r="CL18" s="2">
        <v>0</v>
      </c>
      <c r="CM18" s="2">
        <v>15</v>
      </c>
      <c r="CN18" s="2">
        <v>0.7</v>
      </c>
      <c r="CO18" s="2">
        <v>0.97</v>
      </c>
      <c r="CP18" s="2"/>
    </row>
    <row r="19" spans="1:94" ht="12" thickBot="1" x14ac:dyDescent="0.2">
      <c r="A19" s="7">
        <v>2000053969</v>
      </c>
      <c r="B19" s="2" t="s">
        <v>245</v>
      </c>
      <c r="C19" s="2" t="s">
        <v>246</v>
      </c>
      <c r="D19" s="2" t="s">
        <v>247</v>
      </c>
      <c r="E19" s="2" t="s">
        <v>248</v>
      </c>
      <c r="F19" s="2" t="s">
        <v>98</v>
      </c>
      <c r="G19" s="2"/>
      <c r="H19" s="2" t="s">
        <v>159</v>
      </c>
      <c r="I19" s="2">
        <v>26</v>
      </c>
      <c r="J19" s="2" t="s">
        <v>100</v>
      </c>
      <c r="K19" s="2" t="s">
        <v>215</v>
      </c>
      <c r="L19" s="3">
        <v>45838</v>
      </c>
      <c r="M19" s="2" t="s">
        <v>249</v>
      </c>
      <c r="N19" s="4">
        <v>3209</v>
      </c>
      <c r="O19" s="2">
        <v>89.14</v>
      </c>
      <c r="P19" s="2">
        <v>36</v>
      </c>
      <c r="Q19" s="2" t="s">
        <v>250</v>
      </c>
      <c r="R19" s="2" t="s">
        <v>251</v>
      </c>
      <c r="S19" s="2">
        <v>3.23</v>
      </c>
      <c r="T19" s="2">
        <v>6.89</v>
      </c>
      <c r="U19" s="2">
        <v>1</v>
      </c>
      <c r="V19" s="4">
        <v>2255</v>
      </c>
      <c r="W19" s="2">
        <v>63.24</v>
      </c>
      <c r="X19" s="4">
        <v>1509</v>
      </c>
      <c r="Y19" s="2">
        <v>42.32</v>
      </c>
      <c r="Z19" s="2">
        <v>4.3499999999999996</v>
      </c>
      <c r="AA19" s="2">
        <v>155</v>
      </c>
      <c r="AB19" s="2">
        <v>45</v>
      </c>
      <c r="AC19" s="2">
        <v>1.26</v>
      </c>
      <c r="AD19" s="2">
        <v>21</v>
      </c>
      <c r="AE19" s="2">
        <v>0.59</v>
      </c>
      <c r="AF19" s="5">
        <v>0.67</v>
      </c>
      <c r="AG19" s="2">
        <v>6</v>
      </c>
      <c r="AH19" s="2">
        <v>0.17</v>
      </c>
      <c r="AI19" s="2">
        <v>1.92</v>
      </c>
      <c r="AJ19" s="2">
        <v>0.05</v>
      </c>
      <c r="AK19" s="2">
        <v>16</v>
      </c>
      <c r="AL19" s="2">
        <v>0.45</v>
      </c>
      <c r="AM19" s="2">
        <v>3</v>
      </c>
      <c r="AN19" s="2">
        <v>0.08</v>
      </c>
      <c r="AO19" s="5">
        <v>0.19</v>
      </c>
      <c r="AP19" s="2">
        <v>2</v>
      </c>
      <c r="AQ19" s="2">
        <v>0.06</v>
      </c>
      <c r="AR19" s="2" t="s">
        <v>102</v>
      </c>
      <c r="AS19" s="2">
        <v>1.73</v>
      </c>
      <c r="AT19" s="2">
        <v>0.11</v>
      </c>
      <c r="AU19" s="2">
        <v>0</v>
      </c>
      <c r="AV19" s="2" t="s">
        <v>102</v>
      </c>
      <c r="AW19" s="2" t="s">
        <v>102</v>
      </c>
      <c r="AX19" s="2">
        <v>0.05</v>
      </c>
      <c r="AY19" s="2">
        <v>1.73</v>
      </c>
      <c r="AZ19" s="2">
        <v>0.05</v>
      </c>
      <c r="BA19" s="2">
        <v>-1.73</v>
      </c>
      <c r="BB19" s="2">
        <v>45</v>
      </c>
      <c r="BC19" s="2">
        <v>1.26</v>
      </c>
      <c r="BD19" s="2">
        <v>3</v>
      </c>
      <c r="BE19" s="2">
        <v>0.08</v>
      </c>
      <c r="BF19" s="2">
        <v>1</v>
      </c>
      <c r="BG19" s="2">
        <v>0.03</v>
      </c>
      <c r="BH19" s="5">
        <v>0.33</v>
      </c>
      <c r="BI19" s="2">
        <v>4</v>
      </c>
      <c r="BJ19" s="2">
        <v>0.11</v>
      </c>
      <c r="BK19" s="2">
        <v>9</v>
      </c>
      <c r="BL19" s="2">
        <v>0</v>
      </c>
      <c r="BM19" s="2">
        <v>528</v>
      </c>
      <c r="BN19" s="2">
        <v>14.81</v>
      </c>
      <c r="BO19" s="2">
        <v>438</v>
      </c>
      <c r="BP19" s="2">
        <v>12.28</v>
      </c>
      <c r="BQ19" s="2">
        <v>0.5</v>
      </c>
      <c r="BR19" s="5">
        <v>0.83</v>
      </c>
      <c r="BS19" s="2">
        <v>42</v>
      </c>
      <c r="BT19" s="2">
        <v>0.98</v>
      </c>
      <c r="BU19" s="2">
        <v>35</v>
      </c>
      <c r="BV19" s="2">
        <v>11</v>
      </c>
      <c r="BW19" s="2">
        <v>0.31</v>
      </c>
      <c r="BX19" s="5">
        <v>0.83</v>
      </c>
      <c r="BY19" s="2">
        <v>126</v>
      </c>
      <c r="BZ19" s="2">
        <v>3.53</v>
      </c>
      <c r="CA19" s="2">
        <v>129</v>
      </c>
      <c r="CB19" s="2">
        <v>3.62</v>
      </c>
      <c r="CC19" s="2">
        <v>63</v>
      </c>
      <c r="CD19" s="2">
        <v>1.77</v>
      </c>
      <c r="CE19" s="2">
        <v>2.89</v>
      </c>
      <c r="CF19" s="2">
        <v>19.100000000000001</v>
      </c>
      <c r="CG19" s="2">
        <v>61</v>
      </c>
      <c r="CH19" s="2">
        <v>1.71</v>
      </c>
      <c r="CI19" s="2">
        <v>30</v>
      </c>
      <c r="CJ19" s="2">
        <v>3</v>
      </c>
      <c r="CK19" s="2">
        <v>0</v>
      </c>
      <c r="CL19" s="2">
        <v>0</v>
      </c>
      <c r="CM19" s="2">
        <v>20</v>
      </c>
      <c r="CN19" s="2">
        <v>0.56000000000000005</v>
      </c>
      <c r="CO19" s="2">
        <v>1.21</v>
      </c>
      <c r="CP19" s="2"/>
    </row>
    <row r="20" spans="1:94" ht="12" thickBot="1" x14ac:dyDescent="0.2">
      <c r="A20" s="7">
        <v>2000160511</v>
      </c>
      <c r="B20" s="2" t="s">
        <v>252</v>
      </c>
      <c r="C20" s="2" t="s">
        <v>253</v>
      </c>
      <c r="D20" s="2" t="s">
        <v>254</v>
      </c>
      <c r="E20" s="2" t="s">
        <v>255</v>
      </c>
      <c r="F20" s="2" t="s">
        <v>256</v>
      </c>
      <c r="G20" s="2"/>
      <c r="H20" s="2" t="s">
        <v>159</v>
      </c>
      <c r="I20" s="2">
        <v>20</v>
      </c>
      <c r="J20" s="2" t="s">
        <v>100</v>
      </c>
      <c r="K20" s="2" t="s">
        <v>101</v>
      </c>
      <c r="L20" s="3">
        <v>46568</v>
      </c>
      <c r="M20" s="2" t="s">
        <v>257</v>
      </c>
      <c r="N20" s="4">
        <v>1893</v>
      </c>
      <c r="O20" s="2">
        <v>86.05</v>
      </c>
      <c r="P20" s="2">
        <v>22</v>
      </c>
      <c r="Q20" s="2" t="s">
        <v>258</v>
      </c>
      <c r="R20" s="2" t="s">
        <v>225</v>
      </c>
      <c r="S20" s="2">
        <v>5.85</v>
      </c>
      <c r="T20" s="2">
        <v>7.09</v>
      </c>
      <c r="U20" s="2">
        <v>1</v>
      </c>
      <c r="V20" s="4">
        <v>1731</v>
      </c>
      <c r="W20" s="2">
        <v>82.3</v>
      </c>
      <c r="X20" s="4">
        <v>1546</v>
      </c>
      <c r="Y20" s="2">
        <v>73.5</v>
      </c>
      <c r="Z20" s="2">
        <v>6.28</v>
      </c>
      <c r="AA20" s="2">
        <v>132</v>
      </c>
      <c r="AB20" s="2">
        <v>4</v>
      </c>
      <c r="AC20" s="2">
        <v>0.19</v>
      </c>
      <c r="AD20" s="2">
        <v>4</v>
      </c>
      <c r="AE20" s="2">
        <v>0.19</v>
      </c>
      <c r="AF20" s="5">
        <v>0.89</v>
      </c>
      <c r="AG20" s="2">
        <v>2</v>
      </c>
      <c r="AH20" s="2">
        <v>0.1</v>
      </c>
      <c r="AI20" s="2">
        <v>0.84</v>
      </c>
      <c r="AJ20" s="2">
        <v>0.04</v>
      </c>
      <c r="AK20" s="2">
        <v>18</v>
      </c>
      <c r="AL20" s="2">
        <v>0.86</v>
      </c>
      <c r="AM20" s="2">
        <v>9</v>
      </c>
      <c r="AN20" s="2">
        <v>0.43</v>
      </c>
      <c r="AO20" s="5">
        <v>0.5</v>
      </c>
      <c r="AP20" s="2">
        <v>1</v>
      </c>
      <c r="AQ20" s="2">
        <v>0.05</v>
      </c>
      <c r="AR20" s="5">
        <v>0.17</v>
      </c>
      <c r="AS20" s="2">
        <v>1.68</v>
      </c>
      <c r="AT20" s="2">
        <v>0.09</v>
      </c>
      <c r="AU20" s="2">
        <v>3</v>
      </c>
      <c r="AV20" s="2">
        <v>0.14000000000000001</v>
      </c>
      <c r="AW20" s="2">
        <v>631</v>
      </c>
      <c r="AX20" s="2">
        <v>0.08</v>
      </c>
      <c r="AY20" s="2">
        <v>1.68</v>
      </c>
      <c r="AZ20" s="2">
        <v>0.08</v>
      </c>
      <c r="BA20" s="2">
        <v>1.32</v>
      </c>
      <c r="BB20" s="2">
        <v>37</v>
      </c>
      <c r="BC20" s="2">
        <v>1.76</v>
      </c>
      <c r="BD20" s="2">
        <v>1</v>
      </c>
      <c r="BE20" s="2">
        <v>0.05</v>
      </c>
      <c r="BF20" s="2">
        <v>1</v>
      </c>
      <c r="BG20" s="2">
        <v>0.05</v>
      </c>
      <c r="BH20" s="5">
        <v>1</v>
      </c>
      <c r="BI20" s="2">
        <v>4</v>
      </c>
      <c r="BJ20" s="2">
        <v>0.19</v>
      </c>
      <c r="BK20" s="2">
        <v>10</v>
      </c>
      <c r="BL20" s="2">
        <v>0</v>
      </c>
      <c r="BM20" s="2">
        <v>167</v>
      </c>
      <c r="BN20" s="2">
        <v>7.94</v>
      </c>
      <c r="BO20" s="2">
        <v>128</v>
      </c>
      <c r="BP20" s="2">
        <v>6.09</v>
      </c>
      <c r="BQ20" s="2">
        <v>0.38</v>
      </c>
      <c r="BR20" s="5">
        <v>0.77</v>
      </c>
      <c r="BS20" s="2">
        <v>20</v>
      </c>
      <c r="BT20" s="2">
        <v>0.86</v>
      </c>
      <c r="BU20" s="2">
        <v>18</v>
      </c>
      <c r="BV20" s="2">
        <v>4</v>
      </c>
      <c r="BW20" s="2">
        <v>0.19</v>
      </c>
      <c r="BX20" s="5">
        <v>0.9</v>
      </c>
      <c r="BY20" s="2">
        <v>95</v>
      </c>
      <c r="BZ20" s="2">
        <v>4.5199999999999996</v>
      </c>
      <c r="CA20" s="2">
        <v>72</v>
      </c>
      <c r="CB20" s="2">
        <v>3.42</v>
      </c>
      <c r="CC20" s="2">
        <v>24</v>
      </c>
      <c r="CD20" s="2">
        <v>1.1399999999999999</v>
      </c>
      <c r="CE20" s="2">
        <v>4.5599999999999996</v>
      </c>
      <c r="CF20" s="2">
        <v>20.78</v>
      </c>
      <c r="CG20" s="2">
        <v>22</v>
      </c>
      <c r="CH20" s="2">
        <v>1.05</v>
      </c>
      <c r="CI20" s="2">
        <v>14</v>
      </c>
      <c r="CJ20" s="2">
        <v>1</v>
      </c>
      <c r="CK20" s="2">
        <v>0</v>
      </c>
      <c r="CL20" s="2">
        <v>0</v>
      </c>
      <c r="CM20" s="2">
        <v>13</v>
      </c>
      <c r="CN20" s="2">
        <v>0.62</v>
      </c>
      <c r="CO20" s="2">
        <v>0.81</v>
      </c>
      <c r="CP20" s="2" t="s">
        <v>259</v>
      </c>
    </row>
    <row r="21" spans="1:94" ht="12" thickBot="1" x14ac:dyDescent="0.2">
      <c r="A21" s="7">
        <v>2000173263</v>
      </c>
      <c r="B21" s="2" t="s">
        <v>260</v>
      </c>
      <c r="C21" s="2" t="s">
        <v>261</v>
      </c>
      <c r="D21" s="2" t="s">
        <v>262</v>
      </c>
      <c r="E21" s="2" t="s">
        <v>263</v>
      </c>
      <c r="F21" s="2" t="s">
        <v>98</v>
      </c>
      <c r="G21" s="2" t="s">
        <v>264</v>
      </c>
      <c r="H21" s="2" t="s">
        <v>159</v>
      </c>
      <c r="I21" s="2">
        <v>19</v>
      </c>
      <c r="J21" s="2" t="s">
        <v>122</v>
      </c>
      <c r="K21" s="2" t="s">
        <v>151</v>
      </c>
      <c r="L21" s="3">
        <v>46934</v>
      </c>
      <c r="M21" s="2" t="s">
        <v>265</v>
      </c>
      <c r="N21" s="4">
        <v>2160</v>
      </c>
      <c r="O21" s="2">
        <v>90</v>
      </c>
      <c r="P21" s="2">
        <v>24</v>
      </c>
      <c r="Q21" s="2" t="s">
        <v>266</v>
      </c>
      <c r="R21" s="2" t="s">
        <v>267</v>
      </c>
      <c r="S21" s="2">
        <v>3.54</v>
      </c>
      <c r="T21" s="2">
        <v>7.21</v>
      </c>
      <c r="U21" s="2">
        <v>1</v>
      </c>
      <c r="V21" s="4">
        <v>1266</v>
      </c>
      <c r="W21" s="2">
        <v>52.75</v>
      </c>
      <c r="X21" s="2">
        <v>988</v>
      </c>
      <c r="Y21" s="2">
        <v>41.17</v>
      </c>
      <c r="Z21" s="2">
        <v>4.29</v>
      </c>
      <c r="AA21" s="2">
        <v>103</v>
      </c>
      <c r="AB21" s="2">
        <v>9</v>
      </c>
      <c r="AC21" s="2">
        <v>0.38</v>
      </c>
      <c r="AD21" s="2">
        <v>9</v>
      </c>
      <c r="AE21" s="2">
        <v>0.38</v>
      </c>
      <c r="AF21" s="5">
        <v>0.78</v>
      </c>
      <c r="AG21" s="2">
        <v>1</v>
      </c>
      <c r="AH21" s="2">
        <v>0.04</v>
      </c>
      <c r="AI21" s="2">
        <v>1.58</v>
      </c>
      <c r="AJ21" s="2">
        <v>7.0000000000000007E-2</v>
      </c>
      <c r="AK21" s="2">
        <v>26</v>
      </c>
      <c r="AL21" s="2">
        <v>1.08</v>
      </c>
      <c r="AM21" s="2">
        <v>6</v>
      </c>
      <c r="AN21" s="2">
        <v>0.25</v>
      </c>
      <c r="AO21" s="5">
        <v>0.23</v>
      </c>
      <c r="AP21" s="2">
        <v>2</v>
      </c>
      <c r="AQ21" s="2">
        <v>0.08</v>
      </c>
      <c r="AR21" s="5">
        <v>0.04</v>
      </c>
      <c r="AS21" s="2">
        <v>3.06</v>
      </c>
      <c r="AT21" s="2">
        <v>0.12</v>
      </c>
      <c r="AU21" s="2">
        <v>1</v>
      </c>
      <c r="AV21" s="2">
        <v>0.04</v>
      </c>
      <c r="AW21" s="6">
        <v>2160</v>
      </c>
      <c r="AX21" s="2">
        <v>0.13</v>
      </c>
      <c r="AY21" s="2">
        <v>3.06</v>
      </c>
      <c r="AZ21" s="2">
        <v>0.13</v>
      </c>
      <c r="BA21" s="2">
        <v>-2.06</v>
      </c>
      <c r="BB21" s="2">
        <v>37</v>
      </c>
      <c r="BC21" s="2">
        <v>1.54</v>
      </c>
      <c r="BD21" s="2">
        <v>3</v>
      </c>
      <c r="BE21" s="2">
        <v>0.12</v>
      </c>
      <c r="BF21" s="2">
        <v>0</v>
      </c>
      <c r="BG21" s="2">
        <v>0</v>
      </c>
      <c r="BH21" s="5">
        <v>0</v>
      </c>
      <c r="BI21" s="2">
        <v>4</v>
      </c>
      <c r="BJ21" s="2">
        <v>0.17</v>
      </c>
      <c r="BK21" s="2">
        <v>14</v>
      </c>
      <c r="BL21" s="2">
        <v>1</v>
      </c>
      <c r="BM21" s="2">
        <v>206</v>
      </c>
      <c r="BN21" s="2">
        <v>8.58</v>
      </c>
      <c r="BO21" s="2">
        <v>159</v>
      </c>
      <c r="BP21" s="2">
        <v>6.62</v>
      </c>
      <c r="BQ21" s="2">
        <v>0.67</v>
      </c>
      <c r="BR21" s="5">
        <v>0.77</v>
      </c>
      <c r="BS21" s="2">
        <v>41</v>
      </c>
      <c r="BT21" s="2">
        <v>1.38</v>
      </c>
      <c r="BU21" s="2">
        <v>33</v>
      </c>
      <c r="BV21" s="2">
        <v>8</v>
      </c>
      <c r="BW21" s="2">
        <v>0.33</v>
      </c>
      <c r="BX21" s="5">
        <v>0.8</v>
      </c>
      <c r="BY21" s="2">
        <v>57</v>
      </c>
      <c r="BZ21" s="2">
        <v>2.38</v>
      </c>
      <c r="CA21" s="2">
        <v>80</v>
      </c>
      <c r="CB21" s="2">
        <v>3.33</v>
      </c>
      <c r="CC21" s="2">
        <v>40</v>
      </c>
      <c r="CD21" s="2">
        <v>1.67</v>
      </c>
      <c r="CE21" s="2">
        <v>2.38</v>
      </c>
      <c r="CF21" s="2">
        <v>18.5</v>
      </c>
      <c r="CG21" s="2">
        <v>37</v>
      </c>
      <c r="CH21" s="2">
        <v>1.54</v>
      </c>
      <c r="CI21" s="2">
        <v>19</v>
      </c>
      <c r="CJ21" s="2">
        <v>3</v>
      </c>
      <c r="CK21" s="2">
        <v>0</v>
      </c>
      <c r="CL21" s="2">
        <v>0</v>
      </c>
      <c r="CM21" s="2">
        <v>10</v>
      </c>
      <c r="CN21" s="2">
        <v>0.42</v>
      </c>
      <c r="CO21" s="2">
        <v>0.5</v>
      </c>
      <c r="CP21" s="2" t="s">
        <v>268</v>
      </c>
    </row>
    <row r="22" spans="1:94" ht="12" thickBot="1" x14ac:dyDescent="0.2">
      <c r="A22" s="7">
        <v>2000206509</v>
      </c>
      <c r="B22" s="2" t="s">
        <v>269</v>
      </c>
      <c r="C22" s="2" t="s">
        <v>270</v>
      </c>
      <c r="D22" s="2" t="s">
        <v>271</v>
      </c>
      <c r="E22" s="2" t="s">
        <v>272</v>
      </c>
      <c r="F22" s="2" t="s">
        <v>131</v>
      </c>
      <c r="G22" s="2"/>
      <c r="H22" s="2" t="s">
        <v>159</v>
      </c>
      <c r="I22" s="2">
        <v>19</v>
      </c>
      <c r="J22" s="2" t="s">
        <v>150</v>
      </c>
      <c r="K22" s="2" t="s">
        <v>142</v>
      </c>
      <c r="L22" s="3">
        <v>45473</v>
      </c>
      <c r="M22" s="2" t="s">
        <v>273</v>
      </c>
      <c r="N22" s="2">
        <v>720</v>
      </c>
      <c r="O22" s="2">
        <v>90</v>
      </c>
      <c r="P22" s="2">
        <v>8</v>
      </c>
      <c r="Q22" s="2" t="s">
        <v>274</v>
      </c>
      <c r="R22" s="2" t="s">
        <v>235</v>
      </c>
      <c r="S22" s="2">
        <v>4.88</v>
      </c>
      <c r="T22" s="2">
        <v>6.72</v>
      </c>
      <c r="U22" s="2">
        <v>0</v>
      </c>
      <c r="V22" s="2">
        <v>519</v>
      </c>
      <c r="W22" s="2">
        <v>64.88</v>
      </c>
      <c r="X22" s="2">
        <v>379</v>
      </c>
      <c r="Y22" s="2">
        <v>47.38</v>
      </c>
      <c r="Z22" s="2">
        <v>3.88</v>
      </c>
      <c r="AA22" s="2">
        <v>31</v>
      </c>
      <c r="AB22" s="2">
        <v>3</v>
      </c>
      <c r="AC22" s="2">
        <v>0.38</v>
      </c>
      <c r="AD22" s="2">
        <v>3</v>
      </c>
      <c r="AE22" s="2">
        <v>0.38</v>
      </c>
      <c r="AF22" s="5">
        <v>0.73</v>
      </c>
      <c r="AG22" s="2">
        <v>1</v>
      </c>
      <c r="AH22" s="2">
        <v>0.12</v>
      </c>
      <c r="AI22" s="2">
        <v>0.8</v>
      </c>
      <c r="AJ22" s="2">
        <v>0.1</v>
      </c>
      <c r="AK22" s="2">
        <v>9</v>
      </c>
      <c r="AL22" s="2">
        <v>1.1200000000000001</v>
      </c>
      <c r="AM22" s="2">
        <v>3</v>
      </c>
      <c r="AN22" s="2">
        <v>0.38</v>
      </c>
      <c r="AO22" s="5">
        <v>0.33</v>
      </c>
      <c r="AP22" s="2">
        <v>1</v>
      </c>
      <c r="AQ22" s="2">
        <v>0.12</v>
      </c>
      <c r="AR22" s="5">
        <v>0.11</v>
      </c>
      <c r="AS22" s="2">
        <v>0.43</v>
      </c>
      <c r="AT22" s="2">
        <v>0.05</v>
      </c>
      <c r="AU22" s="2">
        <v>1</v>
      </c>
      <c r="AV22" s="2">
        <v>0.12</v>
      </c>
      <c r="AW22" s="2">
        <v>720</v>
      </c>
      <c r="AX22" s="2">
        <v>0.05</v>
      </c>
      <c r="AY22" s="2">
        <v>0.43</v>
      </c>
      <c r="AZ22" s="2">
        <v>0.05</v>
      </c>
      <c r="BA22" s="2">
        <v>0.56999999999999995</v>
      </c>
      <c r="BB22" s="2">
        <v>13</v>
      </c>
      <c r="BC22" s="2">
        <v>1.62</v>
      </c>
      <c r="BD22" s="2">
        <v>1</v>
      </c>
      <c r="BE22" s="2">
        <v>0.12</v>
      </c>
      <c r="BF22" s="2">
        <v>0</v>
      </c>
      <c r="BG22" s="2">
        <v>0</v>
      </c>
      <c r="BH22" s="5">
        <v>0</v>
      </c>
      <c r="BI22" s="2">
        <v>1</v>
      </c>
      <c r="BJ22" s="2">
        <v>0.12</v>
      </c>
      <c r="BK22" s="2">
        <v>2</v>
      </c>
      <c r="BL22" s="2">
        <v>0</v>
      </c>
      <c r="BM22" s="2">
        <v>134</v>
      </c>
      <c r="BN22" s="2">
        <v>16.75</v>
      </c>
      <c r="BO22" s="2">
        <v>111</v>
      </c>
      <c r="BP22" s="2">
        <v>13.88</v>
      </c>
      <c r="BQ22" s="2">
        <v>0.12</v>
      </c>
      <c r="BR22" s="5">
        <v>0.83</v>
      </c>
      <c r="BS22" s="2">
        <v>2</v>
      </c>
      <c r="BT22" s="2">
        <v>0.25</v>
      </c>
      <c r="BU22" s="2">
        <v>2</v>
      </c>
      <c r="BV22" s="2">
        <v>1</v>
      </c>
      <c r="BW22" s="2">
        <v>0.12</v>
      </c>
      <c r="BX22" s="5">
        <v>1</v>
      </c>
      <c r="BY22" s="2">
        <v>36</v>
      </c>
      <c r="BZ22" s="2">
        <v>4.5</v>
      </c>
      <c r="CA22" s="2">
        <v>23</v>
      </c>
      <c r="CB22" s="2">
        <v>2.88</v>
      </c>
      <c r="CC22" s="2">
        <v>10</v>
      </c>
      <c r="CD22" s="2">
        <v>1.25</v>
      </c>
      <c r="CE22" s="2">
        <v>3.25</v>
      </c>
      <c r="CF22" s="2">
        <v>18.75</v>
      </c>
      <c r="CG22" s="2">
        <v>11</v>
      </c>
      <c r="CH22" s="2">
        <v>1.38</v>
      </c>
      <c r="CI22" s="2">
        <v>6</v>
      </c>
      <c r="CJ22" s="2">
        <v>1</v>
      </c>
      <c r="CK22" s="2">
        <v>0</v>
      </c>
      <c r="CL22" s="2">
        <v>0</v>
      </c>
      <c r="CM22" s="2">
        <v>4</v>
      </c>
      <c r="CN22" s="2">
        <v>0.5</v>
      </c>
      <c r="CO22" s="2">
        <v>1.1200000000000001</v>
      </c>
      <c r="CP22" s="2"/>
    </row>
    <row r="23" spans="1:94" ht="12" thickBot="1" x14ac:dyDescent="0.2">
      <c r="A23" s="7">
        <v>11024514</v>
      </c>
      <c r="B23" s="2" t="s">
        <v>275</v>
      </c>
      <c r="C23" s="2" t="s">
        <v>276</v>
      </c>
      <c r="D23" s="2" t="s">
        <v>277</v>
      </c>
      <c r="E23" s="2" t="s">
        <v>278</v>
      </c>
      <c r="F23" s="2" t="s">
        <v>279</v>
      </c>
      <c r="G23" s="2" t="s">
        <v>280</v>
      </c>
      <c r="H23" s="2" t="s">
        <v>159</v>
      </c>
      <c r="I23" s="2">
        <v>26</v>
      </c>
      <c r="J23" s="2" t="s">
        <v>109</v>
      </c>
      <c r="K23" s="2" t="s">
        <v>151</v>
      </c>
      <c r="L23" s="3">
        <v>46568</v>
      </c>
      <c r="M23" s="2" t="s">
        <v>281</v>
      </c>
      <c r="N23" s="4">
        <v>1511</v>
      </c>
      <c r="O23" s="2">
        <v>75.55</v>
      </c>
      <c r="P23" s="2">
        <v>20</v>
      </c>
      <c r="Q23" s="2" t="s">
        <v>282</v>
      </c>
      <c r="R23" s="2" t="s">
        <v>235</v>
      </c>
      <c r="S23" s="2">
        <v>4.59</v>
      </c>
      <c r="T23" s="2">
        <v>6.98</v>
      </c>
      <c r="U23" s="2">
        <v>1</v>
      </c>
      <c r="V23" s="4">
        <v>1098</v>
      </c>
      <c r="W23" s="2">
        <v>65.400000000000006</v>
      </c>
      <c r="X23" s="2">
        <v>908</v>
      </c>
      <c r="Y23" s="2">
        <v>54.08</v>
      </c>
      <c r="Z23" s="2">
        <v>3.57</v>
      </c>
      <c r="AA23" s="2">
        <v>60</v>
      </c>
      <c r="AB23" s="2">
        <v>5</v>
      </c>
      <c r="AC23" s="2">
        <v>0.3</v>
      </c>
      <c r="AD23" s="2">
        <v>5</v>
      </c>
      <c r="AE23" s="2">
        <v>0.3</v>
      </c>
      <c r="AF23" s="5">
        <v>0.83</v>
      </c>
      <c r="AG23" s="2">
        <v>3</v>
      </c>
      <c r="AH23" s="2">
        <v>0.18</v>
      </c>
      <c r="AI23" s="2">
        <v>0.51</v>
      </c>
      <c r="AJ23" s="2">
        <v>0.03</v>
      </c>
      <c r="AK23" s="2">
        <v>9</v>
      </c>
      <c r="AL23" s="2">
        <v>0.54</v>
      </c>
      <c r="AM23" s="2">
        <v>2</v>
      </c>
      <c r="AN23" s="2">
        <v>0.12</v>
      </c>
      <c r="AO23" s="5">
        <v>0.22</v>
      </c>
      <c r="AP23" s="2">
        <v>2</v>
      </c>
      <c r="AQ23" s="2">
        <v>0.12</v>
      </c>
      <c r="AR23" s="2" t="s">
        <v>102</v>
      </c>
      <c r="AS23" s="2">
        <v>1.26</v>
      </c>
      <c r="AT23" s="2">
        <v>0.14000000000000001</v>
      </c>
      <c r="AU23" s="2">
        <v>0</v>
      </c>
      <c r="AV23" s="2" t="s">
        <v>102</v>
      </c>
      <c r="AW23" s="2" t="s">
        <v>102</v>
      </c>
      <c r="AX23" s="2">
        <v>0.08</v>
      </c>
      <c r="AY23" s="2">
        <v>1.26</v>
      </c>
      <c r="AZ23" s="2">
        <v>0.08</v>
      </c>
      <c r="BA23" s="2">
        <v>-1.26</v>
      </c>
      <c r="BB23" s="2">
        <v>46</v>
      </c>
      <c r="BC23" s="2">
        <v>2.74</v>
      </c>
      <c r="BD23" s="2">
        <v>1</v>
      </c>
      <c r="BE23" s="2">
        <v>0.06</v>
      </c>
      <c r="BF23" s="2">
        <v>1</v>
      </c>
      <c r="BG23" s="2">
        <v>0.06</v>
      </c>
      <c r="BH23" s="5">
        <v>1</v>
      </c>
      <c r="BI23" s="2">
        <v>2</v>
      </c>
      <c r="BJ23" s="2">
        <v>0.12</v>
      </c>
      <c r="BK23" s="2">
        <v>5</v>
      </c>
      <c r="BL23" s="2">
        <v>0</v>
      </c>
      <c r="BM23" s="2">
        <v>151</v>
      </c>
      <c r="BN23" s="2">
        <v>8.99</v>
      </c>
      <c r="BO23" s="2">
        <v>120</v>
      </c>
      <c r="BP23" s="2">
        <v>7.15</v>
      </c>
      <c r="BQ23" s="2">
        <v>0.66</v>
      </c>
      <c r="BR23" s="5">
        <v>0.79</v>
      </c>
      <c r="BS23" s="2">
        <v>22</v>
      </c>
      <c r="BT23" s="2">
        <v>1.01</v>
      </c>
      <c r="BU23" s="2">
        <v>17</v>
      </c>
      <c r="BV23" s="2">
        <v>3</v>
      </c>
      <c r="BW23" s="2">
        <v>0.18</v>
      </c>
      <c r="BX23" s="5">
        <v>0.77</v>
      </c>
      <c r="BY23" s="2">
        <v>67</v>
      </c>
      <c r="BZ23" s="2">
        <v>3.99</v>
      </c>
      <c r="CA23" s="2">
        <v>53</v>
      </c>
      <c r="CB23" s="2">
        <v>3.16</v>
      </c>
      <c r="CC23" s="2">
        <v>27</v>
      </c>
      <c r="CD23" s="2">
        <v>1.61</v>
      </c>
      <c r="CE23" s="2">
        <v>2.08</v>
      </c>
      <c r="CF23" s="2">
        <v>22.34</v>
      </c>
      <c r="CG23" s="2">
        <v>23</v>
      </c>
      <c r="CH23" s="2">
        <v>1.37</v>
      </c>
      <c r="CI23" s="2">
        <v>20</v>
      </c>
      <c r="CJ23" s="2">
        <v>2</v>
      </c>
      <c r="CK23" s="2">
        <v>0</v>
      </c>
      <c r="CL23" s="2">
        <v>0</v>
      </c>
      <c r="CM23" s="2">
        <v>7</v>
      </c>
      <c r="CN23" s="2">
        <v>0.42</v>
      </c>
      <c r="CO23" s="2">
        <v>0.66</v>
      </c>
      <c r="CP23" s="2" t="s">
        <v>226</v>
      </c>
    </row>
    <row r="24" spans="1:94" ht="12" thickBot="1" x14ac:dyDescent="0.2">
      <c r="A24" s="7">
        <v>70131917</v>
      </c>
      <c r="B24" s="2" t="s">
        <v>283</v>
      </c>
      <c r="C24" s="2" t="s">
        <v>276</v>
      </c>
      <c r="D24" s="2" t="s">
        <v>277</v>
      </c>
      <c r="E24" s="2" t="s">
        <v>284</v>
      </c>
      <c r="F24" s="2" t="s">
        <v>285</v>
      </c>
      <c r="G24" s="2"/>
      <c r="H24" s="2" t="s">
        <v>159</v>
      </c>
      <c r="I24" s="2">
        <v>21</v>
      </c>
      <c r="J24" s="2" t="s">
        <v>122</v>
      </c>
      <c r="K24" s="2" t="s">
        <v>286</v>
      </c>
      <c r="L24" s="3">
        <v>45473</v>
      </c>
      <c r="M24" s="2" t="s">
        <v>287</v>
      </c>
      <c r="N24" s="4">
        <v>1363</v>
      </c>
      <c r="O24" s="2">
        <v>75.72</v>
      </c>
      <c r="P24" s="2">
        <v>18</v>
      </c>
      <c r="Q24" s="2" t="s">
        <v>288</v>
      </c>
      <c r="R24" s="2" t="s">
        <v>105</v>
      </c>
      <c r="S24" s="2">
        <v>3.43</v>
      </c>
      <c r="T24" s="2">
        <v>6.94</v>
      </c>
      <c r="U24" s="2">
        <v>1</v>
      </c>
      <c r="V24" s="2">
        <v>991</v>
      </c>
      <c r="W24" s="2">
        <v>65.44</v>
      </c>
      <c r="X24" s="2">
        <v>789</v>
      </c>
      <c r="Y24" s="2">
        <v>52.1</v>
      </c>
      <c r="Z24" s="2">
        <v>4.09</v>
      </c>
      <c r="AA24" s="2">
        <v>62</v>
      </c>
      <c r="AB24" s="2">
        <v>4</v>
      </c>
      <c r="AC24" s="2">
        <v>0.26</v>
      </c>
      <c r="AD24" s="2">
        <v>4</v>
      </c>
      <c r="AE24" s="2">
        <v>0.26</v>
      </c>
      <c r="AF24" s="5">
        <v>0.8</v>
      </c>
      <c r="AG24" s="2">
        <v>2</v>
      </c>
      <c r="AH24" s="2">
        <v>0.13</v>
      </c>
      <c r="AI24" s="2">
        <v>1.86</v>
      </c>
      <c r="AJ24" s="2">
        <v>0.12</v>
      </c>
      <c r="AK24" s="2">
        <v>9</v>
      </c>
      <c r="AL24" s="2">
        <v>0.59</v>
      </c>
      <c r="AM24" s="2">
        <v>1</v>
      </c>
      <c r="AN24" s="2">
        <v>7.0000000000000007E-2</v>
      </c>
      <c r="AO24" s="5">
        <v>0.11</v>
      </c>
      <c r="AP24" s="2">
        <v>2</v>
      </c>
      <c r="AQ24" s="2">
        <v>0.13</v>
      </c>
      <c r="AR24" s="2" t="s">
        <v>102</v>
      </c>
      <c r="AS24" s="2">
        <v>0.8</v>
      </c>
      <c r="AT24" s="2">
        <v>0.09</v>
      </c>
      <c r="AU24" s="2">
        <v>0</v>
      </c>
      <c r="AV24" s="2" t="s">
        <v>102</v>
      </c>
      <c r="AW24" s="2" t="s">
        <v>102</v>
      </c>
      <c r="AX24" s="2">
        <v>0.05</v>
      </c>
      <c r="AY24" s="2">
        <v>0.8</v>
      </c>
      <c r="AZ24" s="2">
        <v>0.05</v>
      </c>
      <c r="BA24" s="2">
        <v>-0.8</v>
      </c>
      <c r="BB24" s="2">
        <v>40</v>
      </c>
      <c r="BC24" s="2">
        <v>2.64</v>
      </c>
      <c r="BD24" s="2">
        <v>1</v>
      </c>
      <c r="BE24" s="2">
        <v>7.0000000000000007E-2</v>
      </c>
      <c r="BF24" s="2">
        <v>1</v>
      </c>
      <c r="BG24" s="2">
        <v>7.0000000000000007E-2</v>
      </c>
      <c r="BH24" s="5">
        <v>1</v>
      </c>
      <c r="BI24" s="2">
        <v>3</v>
      </c>
      <c r="BJ24" s="2">
        <v>0.2</v>
      </c>
      <c r="BK24" s="2">
        <v>4</v>
      </c>
      <c r="BL24" s="2">
        <v>0</v>
      </c>
      <c r="BM24" s="2">
        <v>213</v>
      </c>
      <c r="BN24" s="2">
        <v>14.06</v>
      </c>
      <c r="BO24" s="2">
        <v>175</v>
      </c>
      <c r="BP24" s="2">
        <v>11.56</v>
      </c>
      <c r="BQ24" s="2">
        <v>1.06</v>
      </c>
      <c r="BR24" s="5">
        <v>0.82</v>
      </c>
      <c r="BS24" s="2">
        <v>15</v>
      </c>
      <c r="BT24" s="2">
        <v>0.79</v>
      </c>
      <c r="BU24" s="2">
        <v>12</v>
      </c>
      <c r="BV24" s="2">
        <v>2</v>
      </c>
      <c r="BW24" s="2">
        <v>0.13</v>
      </c>
      <c r="BX24" s="5">
        <v>0.8</v>
      </c>
      <c r="BY24" s="2">
        <v>52</v>
      </c>
      <c r="BZ24" s="2">
        <v>3.43</v>
      </c>
      <c r="CA24" s="2">
        <v>46</v>
      </c>
      <c r="CB24" s="2">
        <v>3.04</v>
      </c>
      <c r="CC24" s="2">
        <v>23</v>
      </c>
      <c r="CD24" s="2">
        <v>1.52</v>
      </c>
      <c r="CE24" s="2">
        <v>2.38</v>
      </c>
      <c r="CF24" s="2">
        <v>19.739999999999998</v>
      </c>
      <c r="CG24" s="2">
        <v>28</v>
      </c>
      <c r="CH24" s="2">
        <v>1.85</v>
      </c>
      <c r="CI24" s="2">
        <v>14</v>
      </c>
      <c r="CJ24" s="2">
        <v>2</v>
      </c>
      <c r="CK24" s="2">
        <v>0</v>
      </c>
      <c r="CL24" s="2">
        <v>0</v>
      </c>
      <c r="CM24" s="2">
        <v>7</v>
      </c>
      <c r="CN24" s="2">
        <v>0.46</v>
      </c>
      <c r="CO24" s="2">
        <v>0.4</v>
      </c>
      <c r="CP24" s="2" t="s">
        <v>226</v>
      </c>
    </row>
    <row r="25" spans="1:94" ht="12" thickBot="1" x14ac:dyDescent="0.2">
      <c r="A25" s="7">
        <v>36146763</v>
      </c>
      <c r="B25" s="2" t="s">
        <v>289</v>
      </c>
      <c r="C25" s="2" t="s">
        <v>219</v>
      </c>
      <c r="D25" s="2" t="s">
        <v>220</v>
      </c>
      <c r="E25" s="2" t="s">
        <v>221</v>
      </c>
      <c r="F25" s="2" t="s">
        <v>290</v>
      </c>
      <c r="G25" s="2"/>
      <c r="H25" s="2" t="s">
        <v>291</v>
      </c>
      <c r="I25" s="2">
        <v>22</v>
      </c>
      <c r="J25" s="2" t="s">
        <v>150</v>
      </c>
      <c r="K25" s="2" t="s">
        <v>292</v>
      </c>
      <c r="L25" s="3">
        <v>46203</v>
      </c>
      <c r="M25" s="2" t="s">
        <v>293</v>
      </c>
      <c r="N25" s="4">
        <v>1736</v>
      </c>
      <c r="O25" s="2">
        <v>62</v>
      </c>
      <c r="P25" s="2" t="s">
        <v>294</v>
      </c>
      <c r="Q25" s="2" t="s">
        <v>295</v>
      </c>
      <c r="R25" s="2" t="s">
        <v>296</v>
      </c>
      <c r="S25" s="2">
        <v>5.6</v>
      </c>
      <c r="T25" s="2">
        <v>7.1</v>
      </c>
      <c r="U25" s="2">
        <v>0</v>
      </c>
      <c r="V25" s="4">
        <v>1954</v>
      </c>
      <c r="W25" s="2">
        <v>101.3</v>
      </c>
      <c r="X25" s="4">
        <v>1817</v>
      </c>
      <c r="Y25" s="2">
        <v>94.2</v>
      </c>
      <c r="Z25" s="2">
        <v>5.44</v>
      </c>
      <c r="AA25" s="2">
        <v>105</v>
      </c>
      <c r="AB25" s="2">
        <v>13</v>
      </c>
      <c r="AC25" s="2">
        <v>0.67</v>
      </c>
      <c r="AD25" s="2">
        <v>13</v>
      </c>
      <c r="AE25" s="2">
        <v>0.67</v>
      </c>
      <c r="AF25" s="5">
        <v>0.93</v>
      </c>
      <c r="AG25" s="2">
        <v>0</v>
      </c>
      <c r="AH25" s="2" t="s">
        <v>102</v>
      </c>
      <c r="AI25" s="2">
        <v>0.62</v>
      </c>
      <c r="AJ25" s="2">
        <v>0.03</v>
      </c>
      <c r="AK25" s="2">
        <v>14</v>
      </c>
      <c r="AL25" s="2">
        <v>0.73</v>
      </c>
      <c r="AM25" s="2">
        <v>5</v>
      </c>
      <c r="AN25" s="2">
        <v>0.26</v>
      </c>
      <c r="AO25" s="5">
        <v>0.36</v>
      </c>
      <c r="AP25" s="2">
        <v>1</v>
      </c>
      <c r="AQ25" s="2">
        <v>0.05</v>
      </c>
      <c r="AR25" s="2" t="s">
        <v>102</v>
      </c>
      <c r="AS25" s="2">
        <v>0.91</v>
      </c>
      <c r="AT25" s="2">
        <v>7.0000000000000007E-2</v>
      </c>
      <c r="AU25" s="2">
        <v>0</v>
      </c>
      <c r="AV25" s="2" t="s">
        <v>102</v>
      </c>
      <c r="AW25" s="2" t="s">
        <v>102</v>
      </c>
      <c r="AX25" s="2">
        <v>0.05</v>
      </c>
      <c r="AY25" s="2">
        <v>0.91</v>
      </c>
      <c r="AZ25" s="2">
        <v>0.05</v>
      </c>
      <c r="BA25" s="2">
        <v>-0.91</v>
      </c>
      <c r="BB25" s="2">
        <v>32</v>
      </c>
      <c r="BC25" s="2">
        <v>1.66</v>
      </c>
      <c r="BD25" s="2">
        <v>1</v>
      </c>
      <c r="BE25" s="2">
        <v>0.05</v>
      </c>
      <c r="BF25" s="2">
        <v>0</v>
      </c>
      <c r="BG25" s="2">
        <v>0</v>
      </c>
      <c r="BH25" s="5">
        <v>0</v>
      </c>
      <c r="BI25" s="2">
        <v>12</v>
      </c>
      <c r="BJ25" s="2">
        <v>0.62</v>
      </c>
      <c r="BK25" s="2">
        <v>7</v>
      </c>
      <c r="BL25" s="2">
        <v>0</v>
      </c>
      <c r="BM25" s="2">
        <v>166</v>
      </c>
      <c r="BN25" s="2">
        <v>8.61</v>
      </c>
      <c r="BO25" s="2">
        <v>137</v>
      </c>
      <c r="BP25" s="2">
        <v>7.1</v>
      </c>
      <c r="BQ25" s="2">
        <v>0.73</v>
      </c>
      <c r="BR25" s="5">
        <v>0.83</v>
      </c>
      <c r="BS25" s="2">
        <v>34</v>
      </c>
      <c r="BT25" s="2">
        <v>1.35</v>
      </c>
      <c r="BU25" s="2">
        <v>26</v>
      </c>
      <c r="BV25" s="2">
        <v>3</v>
      </c>
      <c r="BW25" s="2">
        <v>0.16</v>
      </c>
      <c r="BX25" s="5">
        <v>0.76</v>
      </c>
      <c r="BY25" s="2">
        <v>74</v>
      </c>
      <c r="BZ25" s="2">
        <v>3.84</v>
      </c>
      <c r="CA25" s="2">
        <v>166</v>
      </c>
      <c r="CB25" s="2">
        <v>8.61</v>
      </c>
      <c r="CC25" s="2">
        <v>53</v>
      </c>
      <c r="CD25" s="2">
        <v>2.75</v>
      </c>
      <c r="CE25" s="2">
        <v>9.85</v>
      </c>
      <c r="CF25" s="2">
        <v>19.440000000000001</v>
      </c>
      <c r="CG25" s="2">
        <v>24</v>
      </c>
      <c r="CH25" s="2">
        <v>1.24</v>
      </c>
      <c r="CI25" s="2">
        <v>20</v>
      </c>
      <c r="CJ25" s="2">
        <v>5</v>
      </c>
      <c r="CK25" s="2">
        <v>0</v>
      </c>
      <c r="CL25" s="2">
        <v>1</v>
      </c>
      <c r="CM25" s="2">
        <v>8</v>
      </c>
      <c r="CN25" s="2">
        <v>0.41</v>
      </c>
      <c r="CO25" s="2">
        <v>0.88</v>
      </c>
      <c r="CP25" s="2"/>
    </row>
    <row r="26" spans="1:94" ht="12" thickBot="1" x14ac:dyDescent="0.2">
      <c r="A26" s="7">
        <v>83111598</v>
      </c>
      <c r="B26" s="2" t="s">
        <v>297</v>
      </c>
      <c r="C26" s="2" t="s">
        <v>253</v>
      </c>
      <c r="D26" s="2" t="s">
        <v>254</v>
      </c>
      <c r="E26" s="2" t="s">
        <v>298</v>
      </c>
      <c r="F26" s="2" t="s">
        <v>299</v>
      </c>
      <c r="G26" s="2" t="s">
        <v>300</v>
      </c>
      <c r="H26" s="2" t="s">
        <v>291</v>
      </c>
      <c r="I26" s="2">
        <v>24</v>
      </c>
      <c r="J26" s="2" t="s">
        <v>184</v>
      </c>
      <c r="K26" s="2" t="s">
        <v>222</v>
      </c>
      <c r="L26" s="3">
        <v>46568</v>
      </c>
      <c r="M26" s="2" t="s">
        <v>301</v>
      </c>
      <c r="N26" s="4">
        <v>2358</v>
      </c>
      <c r="O26" s="2">
        <v>81.31</v>
      </c>
      <c r="P26" s="2" t="s">
        <v>302</v>
      </c>
      <c r="Q26" s="2" t="s">
        <v>303</v>
      </c>
      <c r="R26" s="2" t="s">
        <v>154</v>
      </c>
      <c r="S26" s="2">
        <v>5.23</v>
      </c>
      <c r="T26" s="2">
        <v>7.1</v>
      </c>
      <c r="U26" s="2">
        <v>1</v>
      </c>
      <c r="V26" s="4">
        <v>2007</v>
      </c>
      <c r="W26" s="2">
        <v>76.599999999999994</v>
      </c>
      <c r="X26" s="4">
        <v>1759</v>
      </c>
      <c r="Y26" s="2">
        <v>67.14</v>
      </c>
      <c r="Z26" s="2">
        <v>5.61</v>
      </c>
      <c r="AA26" s="2">
        <v>147</v>
      </c>
      <c r="AB26" s="2">
        <v>10</v>
      </c>
      <c r="AC26" s="2">
        <v>0.38</v>
      </c>
      <c r="AD26" s="2">
        <v>10</v>
      </c>
      <c r="AE26" s="2">
        <v>0.38</v>
      </c>
      <c r="AF26" s="5">
        <v>0.88</v>
      </c>
      <c r="AG26" s="2">
        <v>2</v>
      </c>
      <c r="AH26" s="2">
        <v>0.08</v>
      </c>
      <c r="AI26" s="2">
        <v>2.64</v>
      </c>
      <c r="AJ26" s="2">
        <v>0.1</v>
      </c>
      <c r="AK26" s="2">
        <v>11</v>
      </c>
      <c r="AL26" s="2">
        <v>0.42</v>
      </c>
      <c r="AM26" s="2">
        <v>5</v>
      </c>
      <c r="AN26" s="2">
        <v>0.19</v>
      </c>
      <c r="AO26" s="5">
        <v>0.45</v>
      </c>
      <c r="AP26" s="2">
        <v>3</v>
      </c>
      <c r="AQ26" s="2">
        <v>0.11</v>
      </c>
      <c r="AR26" s="5">
        <v>0.09</v>
      </c>
      <c r="AS26" s="2">
        <v>0.81</v>
      </c>
      <c r="AT26" s="2">
        <v>7.0000000000000007E-2</v>
      </c>
      <c r="AU26" s="2">
        <v>1</v>
      </c>
      <c r="AV26" s="2">
        <v>0.04</v>
      </c>
      <c r="AW26" s="6">
        <v>2358</v>
      </c>
      <c r="AX26" s="2">
        <v>0.03</v>
      </c>
      <c r="AY26" s="2">
        <v>0.81</v>
      </c>
      <c r="AZ26" s="2">
        <v>0.03</v>
      </c>
      <c r="BA26" s="2">
        <v>0.19</v>
      </c>
      <c r="BB26" s="2">
        <v>55</v>
      </c>
      <c r="BC26" s="2">
        <v>2.1</v>
      </c>
      <c r="BD26" s="2">
        <v>1</v>
      </c>
      <c r="BE26" s="2">
        <v>0.04</v>
      </c>
      <c r="BF26" s="2">
        <v>0</v>
      </c>
      <c r="BG26" s="2">
        <v>0</v>
      </c>
      <c r="BH26" s="5">
        <v>0</v>
      </c>
      <c r="BI26" s="2">
        <v>9</v>
      </c>
      <c r="BJ26" s="2">
        <v>0.34</v>
      </c>
      <c r="BK26" s="2">
        <v>10</v>
      </c>
      <c r="BL26" s="2">
        <v>2</v>
      </c>
      <c r="BM26" s="2">
        <v>242</v>
      </c>
      <c r="BN26" s="2">
        <v>9.24</v>
      </c>
      <c r="BO26" s="2">
        <v>187</v>
      </c>
      <c r="BP26" s="2">
        <v>7.14</v>
      </c>
      <c r="BQ26" s="2">
        <v>0.92</v>
      </c>
      <c r="BR26" s="5">
        <v>0.77</v>
      </c>
      <c r="BS26" s="2">
        <v>46</v>
      </c>
      <c r="BT26" s="2">
        <v>1.56</v>
      </c>
      <c r="BU26" s="2">
        <v>41</v>
      </c>
      <c r="BV26" s="2">
        <v>10</v>
      </c>
      <c r="BW26" s="2">
        <v>0.38</v>
      </c>
      <c r="BX26" s="5">
        <v>0.89</v>
      </c>
      <c r="BY26" s="2">
        <v>76</v>
      </c>
      <c r="BZ26" s="2">
        <v>2.9</v>
      </c>
      <c r="CA26" s="2">
        <v>98</v>
      </c>
      <c r="CB26" s="2">
        <v>3.74</v>
      </c>
      <c r="CC26" s="2">
        <v>46</v>
      </c>
      <c r="CD26" s="2">
        <v>1.76</v>
      </c>
      <c r="CE26" s="2">
        <v>3.24</v>
      </c>
      <c r="CF26" s="2">
        <v>18.28</v>
      </c>
      <c r="CG26" s="2">
        <v>33</v>
      </c>
      <c r="CH26" s="2">
        <v>1.26</v>
      </c>
      <c r="CI26" s="2">
        <v>31</v>
      </c>
      <c r="CJ26" s="2">
        <v>8</v>
      </c>
      <c r="CK26" s="2">
        <v>2</v>
      </c>
      <c r="CL26" s="2">
        <v>0</v>
      </c>
      <c r="CM26" s="2">
        <v>12</v>
      </c>
      <c r="CN26" s="2">
        <v>0.46</v>
      </c>
      <c r="CO26" s="2">
        <v>0.61</v>
      </c>
      <c r="CP26" s="2"/>
    </row>
    <row r="27" spans="1:94" x14ac:dyDescent="0.15">
      <c r="A27" s="11">
        <v>2000048423</v>
      </c>
      <c r="B27" s="12" t="s">
        <v>304</v>
      </c>
      <c r="C27" s="12" t="s">
        <v>305</v>
      </c>
      <c r="D27" s="12" t="s">
        <v>306</v>
      </c>
      <c r="E27" s="12" t="s">
        <v>307</v>
      </c>
      <c r="F27" s="12" t="s">
        <v>131</v>
      </c>
      <c r="G27" s="12"/>
      <c r="H27" s="12" t="s">
        <v>291</v>
      </c>
      <c r="I27" s="12">
        <v>20</v>
      </c>
      <c r="J27" s="12" t="s">
        <v>100</v>
      </c>
      <c r="K27" s="12" t="s">
        <v>142</v>
      </c>
      <c r="L27" s="13">
        <v>45473</v>
      </c>
      <c r="M27" s="12" t="s">
        <v>308</v>
      </c>
      <c r="N27" s="14">
        <v>2005</v>
      </c>
      <c r="O27" s="12">
        <v>87.17</v>
      </c>
      <c r="P27" s="12">
        <v>23</v>
      </c>
      <c r="Q27" s="12" t="s">
        <v>309</v>
      </c>
      <c r="R27" s="12" t="s">
        <v>310</v>
      </c>
      <c r="S27" s="12">
        <v>8.26</v>
      </c>
      <c r="T27" s="12">
        <v>6.98</v>
      </c>
      <c r="U27" s="12">
        <v>2</v>
      </c>
      <c r="V27" s="14">
        <v>1164</v>
      </c>
      <c r="W27" s="12">
        <v>52.25</v>
      </c>
      <c r="X27" s="12">
        <v>936</v>
      </c>
      <c r="Y27" s="12">
        <v>42.01</v>
      </c>
      <c r="Z27" s="12">
        <v>4.08</v>
      </c>
      <c r="AA27" s="12">
        <v>91</v>
      </c>
      <c r="AB27" s="12">
        <v>21</v>
      </c>
      <c r="AC27" s="12">
        <v>0.94</v>
      </c>
      <c r="AD27" s="12">
        <v>21</v>
      </c>
      <c r="AE27" s="12">
        <v>0.94</v>
      </c>
      <c r="AF27" s="15">
        <v>0.8</v>
      </c>
      <c r="AG27" s="12">
        <v>8</v>
      </c>
      <c r="AH27" s="12">
        <v>0.36</v>
      </c>
      <c r="AI27" s="12">
        <v>3.61</v>
      </c>
      <c r="AJ27" s="12">
        <v>0.16</v>
      </c>
      <c r="AK27" s="12">
        <v>17</v>
      </c>
      <c r="AL27" s="12">
        <v>0.76</v>
      </c>
      <c r="AM27" s="12">
        <v>1</v>
      </c>
      <c r="AN27" s="12">
        <v>0.04</v>
      </c>
      <c r="AO27" s="15">
        <v>0.06</v>
      </c>
      <c r="AP27" s="12">
        <v>7</v>
      </c>
      <c r="AQ27" s="12">
        <v>0.31</v>
      </c>
      <c r="AR27" s="15">
        <v>0.06</v>
      </c>
      <c r="AS27" s="12">
        <v>1.67</v>
      </c>
      <c r="AT27" s="12">
        <v>0.1</v>
      </c>
      <c r="AU27" s="12">
        <v>1</v>
      </c>
      <c r="AV27" s="12">
        <v>0.04</v>
      </c>
      <c r="AW27" s="16">
        <v>2005</v>
      </c>
      <c r="AX27" s="12">
        <v>7.0000000000000007E-2</v>
      </c>
      <c r="AY27" s="12">
        <v>1.67</v>
      </c>
      <c r="AZ27" s="12">
        <v>7.0000000000000007E-2</v>
      </c>
      <c r="BA27" s="12">
        <v>-0.67</v>
      </c>
      <c r="BB27" s="12">
        <v>32</v>
      </c>
      <c r="BC27" s="12">
        <v>1.44</v>
      </c>
      <c r="BD27" s="12">
        <v>7</v>
      </c>
      <c r="BE27" s="12">
        <v>0.31</v>
      </c>
      <c r="BF27" s="12">
        <v>0</v>
      </c>
      <c r="BG27" s="12">
        <v>0</v>
      </c>
      <c r="BH27" s="15">
        <v>0</v>
      </c>
      <c r="BI27" s="12">
        <v>12</v>
      </c>
      <c r="BJ27" s="12">
        <v>0.54</v>
      </c>
      <c r="BK27" s="12">
        <v>22</v>
      </c>
      <c r="BL27" s="12">
        <v>1</v>
      </c>
      <c r="BM27" s="12">
        <v>217</v>
      </c>
      <c r="BN27" s="12">
        <v>9.74</v>
      </c>
      <c r="BO27" s="12">
        <v>165</v>
      </c>
      <c r="BP27" s="12">
        <v>7.41</v>
      </c>
      <c r="BQ27" s="12">
        <v>0.4</v>
      </c>
      <c r="BR27" s="15">
        <v>0.76</v>
      </c>
      <c r="BS27" s="12">
        <v>33</v>
      </c>
      <c r="BT27" s="12">
        <v>1.35</v>
      </c>
      <c r="BU27" s="12">
        <v>30</v>
      </c>
      <c r="BV27" s="12">
        <v>0</v>
      </c>
      <c r="BW27" s="12">
        <v>0</v>
      </c>
      <c r="BX27" s="15">
        <v>0.91</v>
      </c>
      <c r="BY27" s="12">
        <v>38</v>
      </c>
      <c r="BZ27" s="12">
        <v>1.71</v>
      </c>
      <c r="CA27" s="12">
        <v>234</v>
      </c>
      <c r="CB27" s="12">
        <v>10.5</v>
      </c>
      <c r="CC27" s="12">
        <v>62</v>
      </c>
      <c r="CD27" s="12">
        <v>2.78</v>
      </c>
      <c r="CE27" s="12">
        <v>4.8899999999999997</v>
      </c>
      <c r="CF27" s="12">
        <v>18.13</v>
      </c>
      <c r="CG27" s="12">
        <v>29</v>
      </c>
      <c r="CH27" s="12">
        <v>1.3</v>
      </c>
      <c r="CI27" s="12">
        <v>36</v>
      </c>
      <c r="CJ27" s="12">
        <v>2</v>
      </c>
      <c r="CK27" s="12">
        <v>0</v>
      </c>
      <c r="CL27" s="12">
        <v>0</v>
      </c>
      <c r="CM27" s="12">
        <v>12</v>
      </c>
      <c r="CN27" s="12">
        <v>0.54</v>
      </c>
      <c r="CO27" s="12">
        <v>0.63</v>
      </c>
      <c r="CP27" s="12" t="s">
        <v>126</v>
      </c>
    </row>
    <row r="29" spans="1:94" ht="15" customHeight="1" x14ac:dyDescent="0.25">
      <c r="A29" s="57" t="s">
        <v>311</v>
      </c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58"/>
      <c r="AU29" s="58"/>
      <c r="AV29" s="58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8"/>
      <c r="BH29" s="58"/>
      <c r="BI29" s="58"/>
      <c r="BJ29" s="58"/>
      <c r="BK29" s="58"/>
      <c r="BL29" s="58"/>
      <c r="BM29" s="58"/>
      <c r="BN29" s="58"/>
      <c r="BO29" s="58"/>
      <c r="BP29" s="58"/>
      <c r="BQ29" s="58"/>
      <c r="BR29" s="58"/>
      <c r="BS29" s="58"/>
      <c r="BT29" s="58"/>
      <c r="BU29" s="58"/>
      <c r="BV29" s="58"/>
      <c r="BW29" s="58"/>
      <c r="BX29" s="58"/>
      <c r="BY29" s="58"/>
      <c r="BZ29" s="58"/>
      <c r="CA29" s="58"/>
      <c r="CB29" s="58"/>
      <c r="CC29" s="58"/>
      <c r="CD29" s="58"/>
      <c r="CE29" s="58"/>
      <c r="CF29" s="58"/>
      <c r="CG29" s="58"/>
      <c r="CH29" s="58"/>
      <c r="CI29" s="58"/>
      <c r="CJ29" s="58"/>
      <c r="CK29" s="58"/>
      <c r="CL29" s="58"/>
      <c r="CM29" s="58"/>
      <c r="CN29" s="58"/>
      <c r="CO29" s="58"/>
      <c r="CP29" s="58"/>
    </row>
  </sheetData>
  <mergeCells count="1">
    <mergeCell ref="A29:CP29"/>
  </mergeCells>
  <hyperlinks>
    <hyperlink ref="A29" r:id="rId1" xr:uid="{00000000-0004-0000-0000-000000000000}"/>
  </hyperlinks>
  <pageMargins left="0.75" right="0.75" top="1" bottom="1" header="0.5" footer="0.5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911FB-B95F-421C-8AC9-8F19A30E2338}">
  <dimension ref="B2:AZ28"/>
  <sheetViews>
    <sheetView topLeftCell="B1" workbookViewId="0">
      <pane xSplit="1" topLeftCell="AK1" activePane="topRight" state="frozen"/>
      <selection activeCell="B1" sqref="B1"/>
      <selection pane="topRight" activeCell="AV3" sqref="AV3:AV28"/>
    </sheetView>
  </sheetViews>
  <sheetFormatPr baseColWidth="10" defaultRowHeight="15" x14ac:dyDescent="0.25"/>
  <cols>
    <col min="2" max="2" width="23.28515625" customWidth="1"/>
    <col min="6" max="6" width="15.28515625" customWidth="1"/>
    <col min="13" max="13" width="17.28515625" customWidth="1"/>
    <col min="14" max="14" width="13.85546875" customWidth="1"/>
    <col min="15" max="15" width="13.42578125" customWidth="1"/>
    <col min="16" max="16" width="16.5703125" customWidth="1"/>
    <col min="24" max="24" width="13.5703125" customWidth="1"/>
    <col min="26" max="26" width="12.42578125" customWidth="1"/>
    <col min="27" max="27" width="14" customWidth="1"/>
    <col min="33" max="33" width="13.42578125" customWidth="1"/>
    <col min="38" max="38" width="12.5703125" customWidth="1"/>
    <col min="40" max="40" width="13" customWidth="1"/>
    <col min="41" max="41" width="15.28515625" customWidth="1"/>
    <col min="42" max="42" width="14.5703125" customWidth="1"/>
    <col min="43" max="43" width="18.42578125" customWidth="1"/>
    <col min="45" max="45" width="11.5703125" customWidth="1"/>
  </cols>
  <sheetData>
    <row r="2" spans="2:52" ht="15.75" thickBot="1" x14ac:dyDescent="0.3">
      <c r="B2" s="18" t="s">
        <v>1</v>
      </c>
      <c r="C2" s="19" t="s">
        <v>9</v>
      </c>
      <c r="D2" s="19" t="s">
        <v>10</v>
      </c>
      <c r="E2" s="19" t="s">
        <v>11</v>
      </c>
      <c r="F2" s="19" t="s">
        <v>12</v>
      </c>
      <c r="G2" s="19" t="s">
        <v>13</v>
      </c>
      <c r="H2" s="19" t="s">
        <v>15</v>
      </c>
      <c r="I2" s="19" t="s">
        <v>17</v>
      </c>
      <c r="J2" s="19" t="s">
        <v>19</v>
      </c>
      <c r="K2" s="19" t="s">
        <v>22</v>
      </c>
      <c r="L2" s="19" t="s">
        <v>24</v>
      </c>
      <c r="M2" s="19" t="s">
        <v>25</v>
      </c>
      <c r="N2" s="19" t="s">
        <v>28</v>
      </c>
      <c r="O2" s="19" t="s">
        <v>29</v>
      </c>
      <c r="P2" s="19" t="s">
        <v>30</v>
      </c>
      <c r="Q2" s="19" t="s">
        <v>31</v>
      </c>
      <c r="R2" s="19" t="s">
        <v>39</v>
      </c>
      <c r="S2" s="19" t="s">
        <v>46</v>
      </c>
      <c r="T2" s="19" t="s">
        <v>60</v>
      </c>
      <c r="U2" s="19" t="s">
        <v>61</v>
      </c>
      <c r="V2" s="19" t="s">
        <v>62</v>
      </c>
      <c r="W2" s="19" t="s">
        <v>64</v>
      </c>
      <c r="X2" s="19" t="s">
        <v>65</v>
      </c>
      <c r="Y2" s="19" t="s">
        <v>66</v>
      </c>
      <c r="Z2" s="19" t="s">
        <v>67</v>
      </c>
      <c r="AA2" s="19" t="s">
        <v>68</v>
      </c>
      <c r="AB2" s="19" t="s">
        <v>69</v>
      </c>
      <c r="AC2" s="19" t="s">
        <v>70</v>
      </c>
      <c r="AD2" s="19" t="s">
        <v>71</v>
      </c>
      <c r="AE2" s="19" t="s">
        <v>72</v>
      </c>
      <c r="AF2" s="19" t="s">
        <v>73</v>
      </c>
      <c r="AG2" s="19" t="s">
        <v>74</v>
      </c>
      <c r="AH2" s="19" t="s">
        <v>75</v>
      </c>
      <c r="AI2" s="19" t="s">
        <v>76</v>
      </c>
      <c r="AJ2" s="19" t="s">
        <v>77</v>
      </c>
      <c r="AK2" s="19" t="s">
        <v>78</v>
      </c>
      <c r="AL2" s="19" t="s">
        <v>79</v>
      </c>
      <c r="AM2" s="19" t="s">
        <v>80</v>
      </c>
      <c r="AN2" s="19" t="s">
        <v>81</v>
      </c>
      <c r="AO2" s="19" t="s">
        <v>82</v>
      </c>
      <c r="AP2" s="19" t="s">
        <v>83</v>
      </c>
      <c r="AQ2" s="19" t="s">
        <v>326</v>
      </c>
      <c r="AR2" s="19" t="s">
        <v>84</v>
      </c>
      <c r="AS2" s="19" t="s">
        <v>85</v>
      </c>
      <c r="AT2" s="19" t="s">
        <v>86</v>
      </c>
      <c r="AU2" s="19" t="s">
        <v>87</v>
      </c>
      <c r="AV2" s="19" t="s">
        <v>88</v>
      </c>
      <c r="AW2" s="19" t="s">
        <v>89</v>
      </c>
      <c r="AX2" s="19" t="s">
        <v>90</v>
      </c>
      <c r="AY2" s="19" t="s">
        <v>91</v>
      </c>
      <c r="AZ2" s="20" t="s">
        <v>92</v>
      </c>
    </row>
    <row r="3" spans="2:52" ht="15.75" thickBot="1" x14ac:dyDescent="0.3">
      <c r="B3" s="7" t="s">
        <v>218</v>
      </c>
      <c r="C3" s="2">
        <v>191</v>
      </c>
      <c r="D3" s="2" t="s">
        <v>222</v>
      </c>
      <c r="E3" s="3">
        <v>45838</v>
      </c>
      <c r="F3" s="2" t="s">
        <v>223</v>
      </c>
      <c r="G3" s="4">
        <v>2101</v>
      </c>
      <c r="H3" s="2" t="s">
        <v>134</v>
      </c>
      <c r="I3" s="2" t="s">
        <v>225</v>
      </c>
      <c r="J3" s="2">
        <v>7.07</v>
      </c>
      <c r="K3" s="2">
        <v>91.67</v>
      </c>
      <c r="L3" s="2">
        <v>84.09</v>
      </c>
      <c r="M3" s="2">
        <v>4.33</v>
      </c>
      <c r="N3" s="2">
        <v>0.17</v>
      </c>
      <c r="O3" s="2">
        <v>4</v>
      </c>
      <c r="P3" s="2">
        <v>0.17</v>
      </c>
      <c r="Q3" s="5">
        <v>0.92</v>
      </c>
      <c r="R3" s="2">
        <v>0.3</v>
      </c>
      <c r="S3" s="2">
        <v>1</v>
      </c>
      <c r="T3" s="2">
        <v>9</v>
      </c>
      <c r="U3" s="2">
        <v>0.39</v>
      </c>
      <c r="V3" s="2">
        <v>4</v>
      </c>
      <c r="W3" s="2">
        <v>236</v>
      </c>
      <c r="X3" s="2">
        <v>10.11</v>
      </c>
      <c r="Y3" s="2">
        <v>197</v>
      </c>
      <c r="Z3" s="2">
        <v>8.44</v>
      </c>
      <c r="AA3" s="2">
        <v>0.56000000000000005</v>
      </c>
      <c r="AB3" s="5">
        <v>0.83</v>
      </c>
      <c r="AC3" s="2">
        <v>33</v>
      </c>
      <c r="AD3" s="2">
        <v>1.1599999999999999</v>
      </c>
      <c r="AE3" s="2">
        <v>27</v>
      </c>
      <c r="AF3" s="2">
        <v>7</v>
      </c>
      <c r="AG3" s="2">
        <v>0.3</v>
      </c>
      <c r="AH3" s="5">
        <v>0.82</v>
      </c>
      <c r="AI3" s="2">
        <v>96</v>
      </c>
      <c r="AJ3" s="2">
        <v>4.1100000000000003</v>
      </c>
      <c r="AK3" s="2">
        <v>107</v>
      </c>
      <c r="AL3" s="2">
        <v>4.58</v>
      </c>
      <c r="AM3" s="2">
        <v>52</v>
      </c>
      <c r="AN3" s="2">
        <v>2.23</v>
      </c>
      <c r="AO3" s="2">
        <v>9.5500000000000007</v>
      </c>
      <c r="AP3" s="2">
        <v>21.33</v>
      </c>
      <c r="AQ3" s="27">
        <f>Data[[#This Row],[Pos Gan/90]]/Data[[#This Row],[Pos Perd/90]]</f>
        <v>2.233507853403141</v>
      </c>
      <c r="AR3" s="2">
        <v>27</v>
      </c>
      <c r="AS3" s="2">
        <v>1.1599999999999999</v>
      </c>
      <c r="AT3" s="2">
        <v>16</v>
      </c>
      <c r="AU3" s="2">
        <v>4</v>
      </c>
      <c r="AV3" s="2">
        <v>0</v>
      </c>
      <c r="AW3" s="2">
        <v>1</v>
      </c>
      <c r="AX3" s="2">
        <v>11</v>
      </c>
      <c r="AY3" s="2">
        <v>0.47</v>
      </c>
      <c r="AZ3" s="8">
        <v>1.03</v>
      </c>
    </row>
    <row r="4" spans="2:52" ht="15.75" thickBot="1" x14ac:dyDescent="0.3">
      <c r="B4" s="7" t="s">
        <v>145</v>
      </c>
      <c r="C4" s="2">
        <v>192</v>
      </c>
      <c r="D4" s="2" t="s">
        <v>151</v>
      </c>
      <c r="E4" s="3">
        <v>45838</v>
      </c>
      <c r="F4" s="2" t="s">
        <v>152</v>
      </c>
      <c r="G4" s="4">
        <v>2663</v>
      </c>
      <c r="H4" s="2">
        <v>30</v>
      </c>
      <c r="I4" s="2" t="s">
        <v>154</v>
      </c>
      <c r="J4" s="2">
        <v>6.99</v>
      </c>
      <c r="K4" s="2">
        <v>67.59</v>
      </c>
      <c r="L4" s="2">
        <v>59.65</v>
      </c>
      <c r="M4" s="2">
        <v>4.53</v>
      </c>
      <c r="N4" s="2">
        <v>0.2</v>
      </c>
      <c r="O4" s="2">
        <v>6</v>
      </c>
      <c r="P4" s="2">
        <v>0.2</v>
      </c>
      <c r="Q4" s="5">
        <v>0.88</v>
      </c>
      <c r="R4" s="2">
        <v>0.24</v>
      </c>
      <c r="S4" s="2">
        <v>4</v>
      </c>
      <c r="T4" s="2">
        <v>2</v>
      </c>
      <c r="U4" s="2">
        <v>7.0000000000000007E-2</v>
      </c>
      <c r="V4" s="2">
        <v>6</v>
      </c>
      <c r="W4" s="2">
        <v>281</v>
      </c>
      <c r="X4" s="2">
        <v>9.5</v>
      </c>
      <c r="Y4" s="2">
        <v>220</v>
      </c>
      <c r="Z4" s="2">
        <v>7.44</v>
      </c>
      <c r="AA4" s="2">
        <v>0.56999999999999995</v>
      </c>
      <c r="AB4" s="5">
        <v>0.78</v>
      </c>
      <c r="AC4" s="2">
        <v>45</v>
      </c>
      <c r="AD4" s="2">
        <v>1.18</v>
      </c>
      <c r="AE4" s="2">
        <v>35</v>
      </c>
      <c r="AF4" s="2">
        <v>8</v>
      </c>
      <c r="AG4" s="2">
        <v>0.27</v>
      </c>
      <c r="AH4" s="5">
        <v>0.78</v>
      </c>
      <c r="AI4" s="2">
        <v>84</v>
      </c>
      <c r="AJ4" s="2">
        <v>2.84</v>
      </c>
      <c r="AK4" s="2">
        <v>131</v>
      </c>
      <c r="AL4" s="2">
        <v>4.43</v>
      </c>
      <c r="AM4" s="2">
        <v>52</v>
      </c>
      <c r="AN4" s="2">
        <v>1.76</v>
      </c>
      <c r="AO4" s="2">
        <v>3.41</v>
      </c>
      <c r="AP4" s="2">
        <v>18.96</v>
      </c>
      <c r="AQ4" s="27">
        <f>Data[[#This Row],[Pos Gan/90]]/Data[[#This Row],[Pos Perd/90]]</f>
        <v>5.5601173020527863</v>
      </c>
      <c r="AR4" s="2">
        <v>27</v>
      </c>
      <c r="AS4" s="2">
        <v>0.91</v>
      </c>
      <c r="AT4" s="2">
        <v>24</v>
      </c>
      <c r="AU4" s="2">
        <v>6</v>
      </c>
      <c r="AV4" s="2">
        <v>0</v>
      </c>
      <c r="AW4" s="2">
        <v>1</v>
      </c>
      <c r="AX4" s="2">
        <v>21</v>
      </c>
      <c r="AY4" s="2">
        <v>0.71</v>
      </c>
      <c r="AZ4" s="8">
        <v>1.18</v>
      </c>
    </row>
    <row r="5" spans="2:52" ht="15.75" thickBot="1" x14ac:dyDescent="0.3">
      <c r="B5" s="7" t="s">
        <v>304</v>
      </c>
      <c r="C5" s="2">
        <v>191</v>
      </c>
      <c r="D5" s="2" t="s">
        <v>142</v>
      </c>
      <c r="E5" s="3">
        <v>45473</v>
      </c>
      <c r="F5" s="2" t="s">
        <v>308</v>
      </c>
      <c r="G5" s="4">
        <v>2005</v>
      </c>
      <c r="H5" s="2">
        <v>23</v>
      </c>
      <c r="I5" s="2" t="s">
        <v>310</v>
      </c>
      <c r="J5" s="2">
        <v>6.98</v>
      </c>
      <c r="K5" s="2">
        <v>52.25</v>
      </c>
      <c r="L5" s="2">
        <v>42.01</v>
      </c>
      <c r="M5" s="2">
        <v>4.08</v>
      </c>
      <c r="N5" s="2">
        <v>0.94</v>
      </c>
      <c r="O5" s="2">
        <v>21</v>
      </c>
      <c r="P5" s="2">
        <v>0.94</v>
      </c>
      <c r="Q5" s="5">
        <v>0.8</v>
      </c>
      <c r="R5" s="2">
        <v>0.04</v>
      </c>
      <c r="S5" s="2">
        <v>1</v>
      </c>
      <c r="T5" s="2">
        <v>12</v>
      </c>
      <c r="U5" s="2">
        <v>0.54</v>
      </c>
      <c r="V5" s="2">
        <v>22</v>
      </c>
      <c r="W5" s="2">
        <v>217</v>
      </c>
      <c r="X5" s="2">
        <v>9.74</v>
      </c>
      <c r="Y5" s="2">
        <v>165</v>
      </c>
      <c r="Z5" s="2">
        <v>7.41</v>
      </c>
      <c r="AA5" s="2">
        <v>0.4</v>
      </c>
      <c r="AB5" s="5">
        <v>0.76</v>
      </c>
      <c r="AC5" s="2">
        <v>33</v>
      </c>
      <c r="AD5" s="2">
        <v>1.35</v>
      </c>
      <c r="AE5" s="2">
        <v>30</v>
      </c>
      <c r="AF5" s="2">
        <v>0</v>
      </c>
      <c r="AG5" s="2">
        <v>0</v>
      </c>
      <c r="AH5" s="5">
        <v>0.91</v>
      </c>
      <c r="AI5" s="2">
        <v>38</v>
      </c>
      <c r="AJ5" s="2">
        <v>1.71</v>
      </c>
      <c r="AK5" s="2">
        <v>234</v>
      </c>
      <c r="AL5" s="2">
        <v>10.5</v>
      </c>
      <c r="AM5" s="2">
        <v>62</v>
      </c>
      <c r="AN5" s="2">
        <v>2.78</v>
      </c>
      <c r="AO5" s="2">
        <v>4.8899999999999997</v>
      </c>
      <c r="AP5" s="2">
        <v>18.13</v>
      </c>
      <c r="AQ5" s="27">
        <f>Data[[#This Row],[Pos Gan/90]]/Data[[#This Row],[Pos Perd/90]]</f>
        <v>3.7075664621676894</v>
      </c>
      <c r="AR5" s="2">
        <v>29</v>
      </c>
      <c r="AS5" s="2">
        <v>1.3</v>
      </c>
      <c r="AT5" s="2">
        <v>36</v>
      </c>
      <c r="AU5" s="2">
        <v>2</v>
      </c>
      <c r="AV5" s="2">
        <v>0</v>
      </c>
      <c r="AW5" s="2">
        <v>0</v>
      </c>
      <c r="AX5" s="2">
        <v>12</v>
      </c>
      <c r="AY5" s="2">
        <v>0.54</v>
      </c>
      <c r="AZ5" s="8">
        <v>0.63</v>
      </c>
    </row>
    <row r="6" spans="2:52" ht="15.75" thickBot="1" x14ac:dyDescent="0.3">
      <c r="B6" s="7" t="s">
        <v>182</v>
      </c>
      <c r="C6" s="2">
        <v>196</v>
      </c>
      <c r="D6" s="2" t="s">
        <v>185</v>
      </c>
      <c r="E6" s="3">
        <v>45838</v>
      </c>
      <c r="F6" s="2" t="s">
        <v>186</v>
      </c>
      <c r="G6" s="4">
        <v>3243</v>
      </c>
      <c r="H6" s="2">
        <v>37</v>
      </c>
      <c r="I6" s="2" t="s">
        <v>172</v>
      </c>
      <c r="J6" s="2">
        <v>7.04</v>
      </c>
      <c r="K6" s="2">
        <v>64.94</v>
      </c>
      <c r="L6" s="2">
        <v>51.04</v>
      </c>
      <c r="M6" s="2">
        <v>4.1399999999999997</v>
      </c>
      <c r="N6" s="2">
        <v>0.47</v>
      </c>
      <c r="O6" s="2">
        <v>17</v>
      </c>
      <c r="P6" s="2">
        <v>0.47</v>
      </c>
      <c r="Q6" s="5">
        <v>0.79</v>
      </c>
      <c r="R6" s="2">
        <v>0.14000000000000001</v>
      </c>
      <c r="S6" s="2">
        <v>3</v>
      </c>
      <c r="T6" s="2">
        <v>4</v>
      </c>
      <c r="U6" s="2">
        <v>0.11</v>
      </c>
      <c r="V6" s="2">
        <v>17</v>
      </c>
      <c r="W6" s="2">
        <v>407</v>
      </c>
      <c r="X6" s="2">
        <v>11.3</v>
      </c>
      <c r="Y6" s="2">
        <v>337</v>
      </c>
      <c r="Z6" s="2">
        <v>9.35</v>
      </c>
      <c r="AA6" s="2">
        <v>0.67</v>
      </c>
      <c r="AB6" s="5">
        <v>0.83</v>
      </c>
      <c r="AC6" s="2">
        <v>37</v>
      </c>
      <c r="AD6" s="2">
        <v>0.86</v>
      </c>
      <c r="AE6" s="2">
        <v>31</v>
      </c>
      <c r="AF6" s="2">
        <v>9</v>
      </c>
      <c r="AG6" s="2">
        <v>0.25</v>
      </c>
      <c r="AH6" s="5">
        <v>0.84</v>
      </c>
      <c r="AI6" s="2">
        <v>135</v>
      </c>
      <c r="AJ6" s="2">
        <v>3.75</v>
      </c>
      <c r="AK6" s="2">
        <v>144</v>
      </c>
      <c r="AL6" s="2">
        <v>4</v>
      </c>
      <c r="AM6" s="2">
        <v>57</v>
      </c>
      <c r="AN6" s="2">
        <v>1.58</v>
      </c>
      <c r="AO6" s="2">
        <v>2.5499999999999998</v>
      </c>
      <c r="AP6" s="2">
        <v>21.81</v>
      </c>
      <c r="AQ6" s="27">
        <f>Data[[#This Row],[Pos Gan/90]]/Data[[#This Row],[Pos Perd/90]]</f>
        <v>8.552941176470588</v>
      </c>
      <c r="AR6" s="2">
        <v>65</v>
      </c>
      <c r="AS6" s="2">
        <v>1.8</v>
      </c>
      <c r="AT6" s="2">
        <v>32</v>
      </c>
      <c r="AU6" s="2">
        <v>11</v>
      </c>
      <c r="AV6" s="2">
        <v>0</v>
      </c>
      <c r="AW6" s="2">
        <v>0</v>
      </c>
      <c r="AX6" s="2">
        <v>30</v>
      </c>
      <c r="AY6" s="2">
        <v>0.83</v>
      </c>
      <c r="AZ6" s="8">
        <v>1.1100000000000001</v>
      </c>
    </row>
    <row r="7" spans="2:52" ht="24.75" thickBot="1" x14ac:dyDescent="0.3">
      <c r="B7" s="7" t="s">
        <v>297</v>
      </c>
      <c r="C7" s="2">
        <v>196</v>
      </c>
      <c r="D7" s="2" t="s">
        <v>222</v>
      </c>
      <c r="E7" s="3">
        <v>46568</v>
      </c>
      <c r="F7" s="2" t="s">
        <v>301</v>
      </c>
      <c r="G7" s="4">
        <v>2358</v>
      </c>
      <c r="H7" s="2" t="s">
        <v>302</v>
      </c>
      <c r="I7" s="2" t="s">
        <v>154</v>
      </c>
      <c r="J7" s="2">
        <v>7.1</v>
      </c>
      <c r="K7" s="2">
        <v>76.599999999999994</v>
      </c>
      <c r="L7" s="2">
        <v>67.14</v>
      </c>
      <c r="M7" s="2">
        <v>5.61</v>
      </c>
      <c r="N7" s="2">
        <v>0.38</v>
      </c>
      <c r="O7" s="2">
        <v>10</v>
      </c>
      <c r="P7" s="2">
        <v>0.38</v>
      </c>
      <c r="Q7" s="5">
        <v>0.88</v>
      </c>
      <c r="R7" s="2">
        <v>0.19</v>
      </c>
      <c r="S7" s="2">
        <v>1</v>
      </c>
      <c r="T7" s="2">
        <v>9</v>
      </c>
      <c r="U7" s="2">
        <v>0.34</v>
      </c>
      <c r="V7" s="2">
        <v>10</v>
      </c>
      <c r="W7" s="2">
        <v>242</v>
      </c>
      <c r="X7" s="2">
        <v>9.24</v>
      </c>
      <c r="Y7" s="2">
        <v>187</v>
      </c>
      <c r="Z7" s="2">
        <v>7.14</v>
      </c>
      <c r="AA7" s="2">
        <v>0.92</v>
      </c>
      <c r="AB7" s="5">
        <v>0.77</v>
      </c>
      <c r="AC7" s="2">
        <v>46</v>
      </c>
      <c r="AD7" s="2">
        <v>1.56</v>
      </c>
      <c r="AE7" s="2">
        <v>41</v>
      </c>
      <c r="AF7" s="2">
        <v>10</v>
      </c>
      <c r="AG7" s="2">
        <v>0.38</v>
      </c>
      <c r="AH7" s="5">
        <v>0.89</v>
      </c>
      <c r="AI7" s="2">
        <v>76</v>
      </c>
      <c r="AJ7" s="2">
        <v>2.9</v>
      </c>
      <c r="AK7" s="2">
        <v>98</v>
      </c>
      <c r="AL7" s="2">
        <v>3.74</v>
      </c>
      <c r="AM7" s="2">
        <v>46</v>
      </c>
      <c r="AN7" s="2">
        <v>1.76</v>
      </c>
      <c r="AO7" s="2">
        <v>3.24</v>
      </c>
      <c r="AP7" s="2">
        <v>18.28</v>
      </c>
      <c r="AQ7" s="27">
        <f>Data[[#This Row],[Pos Gan/90]]/Data[[#This Row],[Pos Perd/90]]</f>
        <v>5.6419753086419755</v>
      </c>
      <c r="AR7" s="2">
        <v>33</v>
      </c>
      <c r="AS7" s="2">
        <v>1.26</v>
      </c>
      <c r="AT7" s="2">
        <v>31</v>
      </c>
      <c r="AU7" s="2">
        <v>8</v>
      </c>
      <c r="AV7" s="2">
        <v>2</v>
      </c>
      <c r="AW7" s="2">
        <v>0</v>
      </c>
      <c r="AX7" s="2">
        <v>12</v>
      </c>
      <c r="AY7" s="2">
        <v>0.46</v>
      </c>
      <c r="AZ7" s="8">
        <v>0.61</v>
      </c>
    </row>
    <row r="8" spans="2:52" ht="15.75" thickBot="1" x14ac:dyDescent="0.3">
      <c r="B8" s="7" t="s">
        <v>275</v>
      </c>
      <c r="C8" s="2">
        <v>190</v>
      </c>
      <c r="D8" s="2" t="s">
        <v>151</v>
      </c>
      <c r="E8" s="3">
        <v>46568</v>
      </c>
      <c r="F8" s="2" t="s">
        <v>281</v>
      </c>
      <c r="G8" s="4">
        <v>1511</v>
      </c>
      <c r="H8" s="2">
        <v>20</v>
      </c>
      <c r="I8" s="2" t="s">
        <v>235</v>
      </c>
      <c r="J8" s="2">
        <v>6.98</v>
      </c>
      <c r="K8" s="2">
        <v>65.400000000000006</v>
      </c>
      <c r="L8" s="2">
        <v>54.08</v>
      </c>
      <c r="M8" s="2">
        <v>3.57</v>
      </c>
      <c r="N8" s="2">
        <v>0.3</v>
      </c>
      <c r="O8" s="2">
        <v>5</v>
      </c>
      <c r="P8" s="2">
        <v>0.3</v>
      </c>
      <c r="Q8" s="5">
        <v>0.83</v>
      </c>
      <c r="R8" s="2">
        <v>0.12</v>
      </c>
      <c r="S8" s="2">
        <v>0</v>
      </c>
      <c r="T8" s="2">
        <v>2</v>
      </c>
      <c r="U8" s="2">
        <v>0.12</v>
      </c>
      <c r="V8" s="2">
        <v>5</v>
      </c>
      <c r="W8" s="2">
        <v>151</v>
      </c>
      <c r="X8" s="2">
        <v>8.99</v>
      </c>
      <c r="Y8" s="2">
        <v>120</v>
      </c>
      <c r="Z8" s="2">
        <v>7.15</v>
      </c>
      <c r="AA8" s="2">
        <v>0.66</v>
      </c>
      <c r="AB8" s="5">
        <v>0.79</v>
      </c>
      <c r="AC8" s="2">
        <v>22</v>
      </c>
      <c r="AD8" s="2">
        <v>1.01</v>
      </c>
      <c r="AE8" s="2">
        <v>17</v>
      </c>
      <c r="AF8" s="2">
        <v>3</v>
      </c>
      <c r="AG8" s="2">
        <v>0.18</v>
      </c>
      <c r="AH8" s="5">
        <v>0.77</v>
      </c>
      <c r="AI8" s="2">
        <v>67</v>
      </c>
      <c r="AJ8" s="2">
        <v>3.99</v>
      </c>
      <c r="AK8" s="2">
        <v>53</v>
      </c>
      <c r="AL8" s="2">
        <v>3.16</v>
      </c>
      <c r="AM8" s="2">
        <v>27</v>
      </c>
      <c r="AN8" s="2">
        <v>1.61</v>
      </c>
      <c r="AO8" s="2">
        <v>2.08</v>
      </c>
      <c r="AP8" s="2">
        <v>22.34</v>
      </c>
      <c r="AQ8" s="27">
        <f>Data[[#This Row],[Pos Gan/90]]/Data[[#This Row],[Pos Perd/90]]</f>
        <v>10.740384615384615</v>
      </c>
      <c r="AR8" s="2">
        <v>23</v>
      </c>
      <c r="AS8" s="2">
        <v>1.37</v>
      </c>
      <c r="AT8" s="2">
        <v>20</v>
      </c>
      <c r="AU8" s="2">
        <v>2</v>
      </c>
      <c r="AV8" s="2">
        <v>0</v>
      </c>
      <c r="AW8" s="2">
        <v>0</v>
      </c>
      <c r="AX8" s="2">
        <v>7</v>
      </c>
      <c r="AY8" s="2">
        <v>0.42</v>
      </c>
      <c r="AZ8" s="8">
        <v>0.66</v>
      </c>
    </row>
    <row r="9" spans="2:52" ht="15.75" thickBot="1" x14ac:dyDescent="0.3">
      <c r="B9" s="7" t="s">
        <v>260</v>
      </c>
      <c r="C9" s="2">
        <v>194</v>
      </c>
      <c r="D9" s="2" t="s">
        <v>151</v>
      </c>
      <c r="E9" s="3">
        <v>46934</v>
      </c>
      <c r="F9" s="2" t="s">
        <v>265</v>
      </c>
      <c r="G9" s="4">
        <v>2160</v>
      </c>
      <c r="H9" s="2">
        <v>24</v>
      </c>
      <c r="I9" s="2" t="s">
        <v>267</v>
      </c>
      <c r="J9" s="2">
        <v>7.21</v>
      </c>
      <c r="K9" s="2">
        <v>52.75</v>
      </c>
      <c r="L9" s="2">
        <v>41.17</v>
      </c>
      <c r="M9" s="2">
        <v>4.29</v>
      </c>
      <c r="N9" s="2">
        <v>0.38</v>
      </c>
      <c r="O9" s="2">
        <v>9</v>
      </c>
      <c r="P9" s="2">
        <v>0.38</v>
      </c>
      <c r="Q9" s="5">
        <v>0.78</v>
      </c>
      <c r="R9" s="2">
        <v>0.25</v>
      </c>
      <c r="S9" s="2">
        <v>1</v>
      </c>
      <c r="T9" s="2">
        <v>4</v>
      </c>
      <c r="U9" s="2">
        <v>0.17</v>
      </c>
      <c r="V9" s="2">
        <v>14</v>
      </c>
      <c r="W9" s="2">
        <v>206</v>
      </c>
      <c r="X9" s="2">
        <v>8.58</v>
      </c>
      <c r="Y9" s="2">
        <v>159</v>
      </c>
      <c r="Z9" s="2">
        <v>6.62</v>
      </c>
      <c r="AA9" s="2">
        <v>0.67</v>
      </c>
      <c r="AB9" s="5">
        <v>0.77</v>
      </c>
      <c r="AC9" s="2">
        <v>41</v>
      </c>
      <c r="AD9" s="2">
        <v>1.38</v>
      </c>
      <c r="AE9" s="2">
        <v>33</v>
      </c>
      <c r="AF9" s="2">
        <v>8</v>
      </c>
      <c r="AG9" s="2">
        <v>0.33</v>
      </c>
      <c r="AH9" s="5">
        <v>0.8</v>
      </c>
      <c r="AI9" s="2">
        <v>57</v>
      </c>
      <c r="AJ9" s="2">
        <v>2.38</v>
      </c>
      <c r="AK9" s="2">
        <v>80</v>
      </c>
      <c r="AL9" s="2">
        <v>3.33</v>
      </c>
      <c r="AM9" s="2">
        <v>40</v>
      </c>
      <c r="AN9" s="2">
        <v>1.67</v>
      </c>
      <c r="AO9" s="2">
        <v>2.38</v>
      </c>
      <c r="AP9" s="2">
        <v>18.5</v>
      </c>
      <c r="AQ9" s="27">
        <f>Data[[#This Row],[Pos Gan/90]]/Data[[#This Row],[Pos Perd/90]]</f>
        <v>7.7731092436974789</v>
      </c>
      <c r="AR9" s="2">
        <v>37</v>
      </c>
      <c r="AS9" s="2">
        <v>1.54</v>
      </c>
      <c r="AT9" s="2">
        <v>19</v>
      </c>
      <c r="AU9" s="2">
        <v>3</v>
      </c>
      <c r="AV9" s="2">
        <v>0</v>
      </c>
      <c r="AW9" s="2">
        <v>0</v>
      </c>
      <c r="AX9" s="2">
        <v>10</v>
      </c>
      <c r="AY9" s="2">
        <v>0.42</v>
      </c>
      <c r="AZ9" s="8">
        <v>0.5</v>
      </c>
    </row>
    <row r="10" spans="2:52" ht="15.75" thickBot="1" x14ac:dyDescent="0.3">
      <c r="B10" s="7" t="s">
        <v>188</v>
      </c>
      <c r="C10" s="2">
        <v>192</v>
      </c>
      <c r="D10" s="2" t="s">
        <v>192</v>
      </c>
      <c r="E10" s="3">
        <v>45838</v>
      </c>
      <c r="F10" s="2" t="s">
        <v>193</v>
      </c>
      <c r="G10" s="4">
        <v>2579</v>
      </c>
      <c r="H10" s="2">
        <v>31</v>
      </c>
      <c r="I10" s="2" t="s">
        <v>163</v>
      </c>
      <c r="J10" s="2">
        <v>6.74</v>
      </c>
      <c r="K10" s="2">
        <v>66.97</v>
      </c>
      <c r="L10" s="2">
        <v>52.49</v>
      </c>
      <c r="M10" s="2">
        <v>4.29</v>
      </c>
      <c r="N10" s="2">
        <v>0.52</v>
      </c>
      <c r="O10" s="2">
        <v>15</v>
      </c>
      <c r="P10" s="2">
        <v>0.52</v>
      </c>
      <c r="Q10" s="5">
        <v>0.78</v>
      </c>
      <c r="R10" s="2">
        <v>0.17</v>
      </c>
      <c r="S10" s="2">
        <v>1</v>
      </c>
      <c r="T10" s="2">
        <v>2</v>
      </c>
      <c r="U10" s="2">
        <v>7.0000000000000007E-2</v>
      </c>
      <c r="V10" s="2">
        <v>12</v>
      </c>
      <c r="W10" s="2">
        <v>427</v>
      </c>
      <c r="X10" s="2">
        <v>14.9</v>
      </c>
      <c r="Y10" s="2">
        <v>334</v>
      </c>
      <c r="Z10" s="2">
        <v>11.66</v>
      </c>
      <c r="AA10" s="2">
        <v>0.28000000000000003</v>
      </c>
      <c r="AB10" s="5">
        <v>0.78</v>
      </c>
      <c r="AC10" s="2">
        <v>18</v>
      </c>
      <c r="AD10" s="2">
        <v>0.56000000000000005</v>
      </c>
      <c r="AE10" s="2">
        <v>16</v>
      </c>
      <c r="AF10" s="2">
        <v>4</v>
      </c>
      <c r="AG10" s="2">
        <v>0.14000000000000001</v>
      </c>
      <c r="AH10" s="5">
        <v>0.89</v>
      </c>
      <c r="AI10" s="2">
        <v>112</v>
      </c>
      <c r="AJ10" s="2">
        <v>3.91</v>
      </c>
      <c r="AK10" s="2">
        <v>101</v>
      </c>
      <c r="AL10" s="2">
        <v>3.52</v>
      </c>
      <c r="AM10" s="2">
        <v>40</v>
      </c>
      <c r="AN10" s="2">
        <v>1.4</v>
      </c>
      <c r="AO10" s="2">
        <v>3.56</v>
      </c>
      <c r="AP10" s="2">
        <v>18.18</v>
      </c>
      <c r="AQ10" s="27">
        <f>Data[[#This Row],[Pos Gan/90]]/Data[[#This Row],[Pos Perd/90]]</f>
        <v>5.106741573033708</v>
      </c>
      <c r="AR10" s="2">
        <v>53</v>
      </c>
      <c r="AS10" s="2">
        <v>1.85</v>
      </c>
      <c r="AT10" s="2">
        <v>26</v>
      </c>
      <c r="AU10" s="2">
        <v>5</v>
      </c>
      <c r="AV10" s="2">
        <v>1</v>
      </c>
      <c r="AW10" s="2">
        <v>0</v>
      </c>
      <c r="AX10" s="2">
        <v>26</v>
      </c>
      <c r="AY10" s="2">
        <v>0.91</v>
      </c>
      <c r="AZ10" s="8">
        <v>1.05</v>
      </c>
    </row>
    <row r="11" spans="2:52" ht="15.75" thickBot="1" x14ac:dyDescent="0.3">
      <c r="B11" s="7" t="s">
        <v>283</v>
      </c>
      <c r="C11" s="2">
        <v>194</v>
      </c>
      <c r="D11" s="2" t="s">
        <v>286</v>
      </c>
      <c r="E11" s="3">
        <v>45473</v>
      </c>
      <c r="F11" s="2" t="s">
        <v>287</v>
      </c>
      <c r="G11" s="4">
        <v>1363</v>
      </c>
      <c r="H11" s="2">
        <v>18</v>
      </c>
      <c r="I11" s="2" t="s">
        <v>105</v>
      </c>
      <c r="J11" s="2">
        <v>6.94</v>
      </c>
      <c r="K11" s="2">
        <v>65.44</v>
      </c>
      <c r="L11" s="2">
        <v>52.1</v>
      </c>
      <c r="M11" s="2">
        <v>4.09</v>
      </c>
      <c r="N11" s="2">
        <v>0.26</v>
      </c>
      <c r="O11" s="2">
        <v>4</v>
      </c>
      <c r="P11" s="2">
        <v>0.26</v>
      </c>
      <c r="Q11" s="5">
        <v>0.8</v>
      </c>
      <c r="R11" s="2">
        <v>7.0000000000000007E-2</v>
      </c>
      <c r="S11" s="2">
        <v>0</v>
      </c>
      <c r="T11" s="2">
        <v>3</v>
      </c>
      <c r="U11" s="2">
        <v>0.2</v>
      </c>
      <c r="V11" s="2">
        <v>4</v>
      </c>
      <c r="W11" s="2">
        <v>213</v>
      </c>
      <c r="X11" s="2">
        <v>14.06</v>
      </c>
      <c r="Y11" s="2">
        <v>175</v>
      </c>
      <c r="Z11" s="2">
        <v>11.56</v>
      </c>
      <c r="AA11" s="2">
        <v>1.06</v>
      </c>
      <c r="AB11" s="5">
        <v>0.82</v>
      </c>
      <c r="AC11" s="2">
        <v>15</v>
      </c>
      <c r="AD11" s="2">
        <v>0.79</v>
      </c>
      <c r="AE11" s="2">
        <v>12</v>
      </c>
      <c r="AF11" s="2">
        <v>2</v>
      </c>
      <c r="AG11" s="2">
        <v>0.13</v>
      </c>
      <c r="AH11" s="5">
        <v>0.8</v>
      </c>
      <c r="AI11" s="2">
        <v>52</v>
      </c>
      <c r="AJ11" s="2">
        <v>3.43</v>
      </c>
      <c r="AK11" s="2">
        <v>46</v>
      </c>
      <c r="AL11" s="2">
        <v>3.04</v>
      </c>
      <c r="AM11" s="2">
        <v>23</v>
      </c>
      <c r="AN11" s="2">
        <v>1.52</v>
      </c>
      <c r="AO11" s="2">
        <v>2.38</v>
      </c>
      <c r="AP11" s="2">
        <v>19.739999999999998</v>
      </c>
      <c r="AQ11" s="27">
        <f>Data[[#This Row],[Pos Gan/90]]/Data[[#This Row],[Pos Perd/90]]</f>
        <v>8.2941176470588225</v>
      </c>
      <c r="AR11" s="2">
        <v>28</v>
      </c>
      <c r="AS11" s="2">
        <v>1.85</v>
      </c>
      <c r="AT11" s="2">
        <v>14</v>
      </c>
      <c r="AU11" s="2">
        <v>2</v>
      </c>
      <c r="AV11" s="2">
        <v>0</v>
      </c>
      <c r="AW11" s="2">
        <v>0</v>
      </c>
      <c r="AX11" s="2">
        <v>7</v>
      </c>
      <c r="AY11" s="2">
        <v>0.46</v>
      </c>
      <c r="AZ11" s="8">
        <v>0.4</v>
      </c>
    </row>
    <row r="12" spans="2:52" ht="15.75" thickBot="1" x14ac:dyDescent="0.3">
      <c r="B12" s="7" t="s">
        <v>227</v>
      </c>
      <c r="C12" s="2">
        <v>192</v>
      </c>
      <c r="D12" s="2" t="s">
        <v>232</v>
      </c>
      <c r="E12" s="3">
        <v>46203</v>
      </c>
      <c r="F12" s="2" t="s">
        <v>233</v>
      </c>
      <c r="G12" s="4">
        <v>1264</v>
      </c>
      <c r="H12" s="2">
        <v>15</v>
      </c>
      <c r="I12" s="2" t="s">
        <v>235</v>
      </c>
      <c r="J12" s="2">
        <v>6.71</v>
      </c>
      <c r="K12" s="2">
        <v>61.16</v>
      </c>
      <c r="L12" s="2">
        <v>40.159999999999997</v>
      </c>
      <c r="M12" s="2">
        <v>3.49</v>
      </c>
      <c r="N12" s="2">
        <v>7.0000000000000007E-2</v>
      </c>
      <c r="O12" s="2">
        <v>1</v>
      </c>
      <c r="P12" s="2">
        <v>7.0000000000000007E-2</v>
      </c>
      <c r="Q12" s="5">
        <v>0.66</v>
      </c>
      <c r="R12" s="2">
        <v>7.0000000000000007E-2</v>
      </c>
      <c r="S12" s="2">
        <v>0</v>
      </c>
      <c r="T12" s="2">
        <v>2</v>
      </c>
      <c r="U12" s="2">
        <v>0.14000000000000001</v>
      </c>
      <c r="V12" s="2">
        <v>5</v>
      </c>
      <c r="W12" s="2">
        <v>209</v>
      </c>
      <c r="X12" s="2">
        <v>14.88</v>
      </c>
      <c r="Y12" s="2">
        <v>157</v>
      </c>
      <c r="Z12" s="2">
        <v>11.18</v>
      </c>
      <c r="AA12" s="2">
        <v>1.21</v>
      </c>
      <c r="AB12" s="5">
        <v>0.75</v>
      </c>
      <c r="AC12" s="2">
        <v>12</v>
      </c>
      <c r="AD12" s="2">
        <v>0.85</v>
      </c>
      <c r="AE12" s="2">
        <v>12</v>
      </c>
      <c r="AF12" s="2">
        <v>2</v>
      </c>
      <c r="AG12" s="2">
        <v>0.14000000000000001</v>
      </c>
      <c r="AH12" s="5">
        <v>1</v>
      </c>
      <c r="AI12" s="2">
        <v>59</v>
      </c>
      <c r="AJ12" s="2">
        <v>4.2</v>
      </c>
      <c r="AK12" s="2">
        <v>49</v>
      </c>
      <c r="AL12" s="2">
        <v>3.49</v>
      </c>
      <c r="AM12" s="2">
        <v>22</v>
      </c>
      <c r="AN12" s="2">
        <v>1.57</v>
      </c>
      <c r="AO12" s="2">
        <v>6.91</v>
      </c>
      <c r="AP12" s="2">
        <v>19.649999999999999</v>
      </c>
      <c r="AQ12" s="27">
        <f>Data[[#This Row],[Pos Gan/90]]/Data[[#This Row],[Pos Perd/90]]</f>
        <v>2.8437047756874092</v>
      </c>
      <c r="AR12" s="2">
        <v>28</v>
      </c>
      <c r="AS12" s="2">
        <v>1.99</v>
      </c>
      <c r="AT12" s="2">
        <v>13</v>
      </c>
      <c r="AU12" s="2">
        <v>3</v>
      </c>
      <c r="AV12" s="2">
        <v>1</v>
      </c>
      <c r="AW12" s="2">
        <v>0</v>
      </c>
      <c r="AX12" s="2">
        <v>9</v>
      </c>
      <c r="AY12" s="2">
        <v>0.64</v>
      </c>
      <c r="AZ12" s="8">
        <v>1.1399999999999999</v>
      </c>
    </row>
    <row r="13" spans="2:52" ht="24.75" thickBot="1" x14ac:dyDescent="0.3">
      <c r="B13" s="7" t="s">
        <v>127</v>
      </c>
      <c r="C13" s="2">
        <v>190</v>
      </c>
      <c r="D13" s="2" t="s">
        <v>132</v>
      </c>
      <c r="E13" s="3">
        <v>46568</v>
      </c>
      <c r="F13" s="2" t="s">
        <v>133</v>
      </c>
      <c r="G13" s="4">
        <v>2068</v>
      </c>
      <c r="H13" s="2" t="s">
        <v>134</v>
      </c>
      <c r="I13" s="2" t="s">
        <v>136</v>
      </c>
      <c r="J13" s="2">
        <v>6.67</v>
      </c>
      <c r="K13" s="2">
        <v>51.83</v>
      </c>
      <c r="L13" s="2">
        <v>44</v>
      </c>
      <c r="M13" s="2">
        <v>2.92</v>
      </c>
      <c r="N13" s="2">
        <v>0.26</v>
      </c>
      <c r="O13" s="2">
        <v>6</v>
      </c>
      <c r="P13" s="2">
        <v>0.26</v>
      </c>
      <c r="Q13" s="5">
        <v>0.85</v>
      </c>
      <c r="R13" s="2">
        <v>0.13</v>
      </c>
      <c r="S13" s="2">
        <v>1</v>
      </c>
      <c r="T13" s="2">
        <v>9</v>
      </c>
      <c r="U13" s="2">
        <v>0.39</v>
      </c>
      <c r="V13" s="2">
        <v>4</v>
      </c>
      <c r="W13" s="2">
        <v>201</v>
      </c>
      <c r="X13" s="2">
        <v>8.75</v>
      </c>
      <c r="Y13" s="2">
        <v>162</v>
      </c>
      <c r="Z13" s="2">
        <v>7.05</v>
      </c>
      <c r="AA13" s="2">
        <v>0.91</v>
      </c>
      <c r="AB13" s="5">
        <v>0.81</v>
      </c>
      <c r="AC13" s="2">
        <v>39</v>
      </c>
      <c r="AD13" s="2">
        <v>1.39</v>
      </c>
      <c r="AE13" s="2">
        <v>32</v>
      </c>
      <c r="AF13" s="2">
        <v>9</v>
      </c>
      <c r="AG13" s="2">
        <v>0.39</v>
      </c>
      <c r="AH13" s="5">
        <v>0.82</v>
      </c>
      <c r="AI13" s="2">
        <v>75</v>
      </c>
      <c r="AJ13" s="2">
        <v>3.26</v>
      </c>
      <c r="AK13" s="2">
        <v>131</v>
      </c>
      <c r="AL13" s="2">
        <v>5.7</v>
      </c>
      <c r="AM13" s="2">
        <v>53</v>
      </c>
      <c r="AN13" s="2">
        <v>2.31</v>
      </c>
      <c r="AO13" s="2">
        <v>10.62</v>
      </c>
      <c r="AP13" s="2">
        <v>20.45</v>
      </c>
      <c r="AQ13" s="27">
        <f>Data[[#This Row],[Pos Gan/90]]/Data[[#This Row],[Pos Perd/90]]</f>
        <v>1.9256120527306968</v>
      </c>
      <c r="AR13" s="2">
        <v>38</v>
      </c>
      <c r="AS13" s="2">
        <v>1.65</v>
      </c>
      <c r="AT13" s="2">
        <v>20</v>
      </c>
      <c r="AU13" s="2">
        <v>3</v>
      </c>
      <c r="AV13" s="2">
        <v>1</v>
      </c>
      <c r="AW13" s="2">
        <v>3</v>
      </c>
      <c r="AX13" s="2">
        <v>15</v>
      </c>
      <c r="AY13" s="2">
        <v>0.65</v>
      </c>
      <c r="AZ13" s="8">
        <v>2.09</v>
      </c>
    </row>
    <row r="14" spans="2:52" ht="15.75" thickBot="1" x14ac:dyDescent="0.3">
      <c r="B14" s="7" t="s">
        <v>173</v>
      </c>
      <c r="C14" s="2">
        <v>190</v>
      </c>
      <c r="D14" s="2" t="s">
        <v>101</v>
      </c>
      <c r="E14" s="3">
        <v>46203</v>
      </c>
      <c r="F14" s="2" t="s">
        <v>178</v>
      </c>
      <c r="G14" s="2">
        <v>181</v>
      </c>
      <c r="H14" s="2" t="s">
        <v>112</v>
      </c>
      <c r="I14" s="2" t="s">
        <v>180</v>
      </c>
      <c r="J14" s="2">
        <v>7.05</v>
      </c>
      <c r="K14" s="2">
        <v>65.14</v>
      </c>
      <c r="L14" s="2">
        <v>61.66</v>
      </c>
      <c r="M14" s="2">
        <v>4.97</v>
      </c>
      <c r="N14" s="2" t="s">
        <v>102</v>
      </c>
      <c r="O14" s="2">
        <v>0</v>
      </c>
      <c r="P14" s="2">
        <v>0</v>
      </c>
      <c r="Q14" s="5">
        <v>0.95</v>
      </c>
      <c r="R14" s="2" t="s">
        <v>102</v>
      </c>
      <c r="S14" s="2">
        <v>0</v>
      </c>
      <c r="T14" s="2">
        <v>1</v>
      </c>
      <c r="U14" s="2">
        <v>0.5</v>
      </c>
      <c r="V14" s="2">
        <v>1</v>
      </c>
      <c r="W14" s="2">
        <v>21</v>
      </c>
      <c r="X14" s="2">
        <v>10.44</v>
      </c>
      <c r="Y14" s="2">
        <v>16</v>
      </c>
      <c r="Z14" s="2">
        <v>7.96</v>
      </c>
      <c r="AA14" s="2">
        <v>0.99</v>
      </c>
      <c r="AB14" s="5">
        <v>0.76</v>
      </c>
      <c r="AC14" s="2">
        <v>3</v>
      </c>
      <c r="AD14" s="2">
        <v>1.49</v>
      </c>
      <c r="AE14" s="2">
        <v>3</v>
      </c>
      <c r="AF14" s="2">
        <v>0</v>
      </c>
      <c r="AG14" s="2">
        <v>0</v>
      </c>
      <c r="AH14" s="5">
        <v>1</v>
      </c>
      <c r="AI14" s="2">
        <v>4</v>
      </c>
      <c r="AJ14" s="2">
        <v>1.99</v>
      </c>
      <c r="AK14" s="2">
        <v>7</v>
      </c>
      <c r="AL14" s="2">
        <v>3.48</v>
      </c>
      <c r="AM14" s="2">
        <v>5</v>
      </c>
      <c r="AN14" s="2">
        <v>2.4900000000000002</v>
      </c>
      <c r="AO14" s="2">
        <v>2.98</v>
      </c>
      <c r="AP14" s="2">
        <v>18.899999999999999</v>
      </c>
      <c r="AQ14" s="27">
        <f>Data[[#This Row],[Pos Gan/90]]/Data[[#This Row],[Pos Perd/90]]</f>
        <v>6.3422818791946307</v>
      </c>
      <c r="AR14" s="2">
        <v>2</v>
      </c>
      <c r="AS14" s="2">
        <v>0.99</v>
      </c>
      <c r="AT14" s="2">
        <v>2</v>
      </c>
      <c r="AU14" s="2">
        <v>0</v>
      </c>
      <c r="AV14" s="2">
        <v>0</v>
      </c>
      <c r="AW14" s="2">
        <v>0</v>
      </c>
      <c r="AX14" s="2">
        <v>0</v>
      </c>
      <c r="AY14" s="2" t="s">
        <v>102</v>
      </c>
      <c r="AZ14" s="8">
        <v>0.5</v>
      </c>
    </row>
    <row r="15" spans="2:52" ht="24.75" thickBot="1" x14ac:dyDescent="0.3">
      <c r="B15" s="7" t="s">
        <v>203</v>
      </c>
      <c r="C15" s="2">
        <v>192</v>
      </c>
      <c r="D15" s="2" t="s">
        <v>142</v>
      </c>
      <c r="E15" s="3">
        <v>46203</v>
      </c>
      <c r="F15" s="2" t="s">
        <v>206</v>
      </c>
      <c r="G15" s="4">
        <v>2376</v>
      </c>
      <c r="H15" s="2" t="s">
        <v>207</v>
      </c>
      <c r="I15" s="2" t="s">
        <v>209</v>
      </c>
      <c r="J15" s="2">
        <v>7.06</v>
      </c>
      <c r="K15" s="2">
        <v>64.55</v>
      </c>
      <c r="L15" s="2">
        <v>58.98</v>
      </c>
      <c r="M15" s="2">
        <v>3.83</v>
      </c>
      <c r="N15" s="2">
        <v>0.23</v>
      </c>
      <c r="O15" s="2">
        <v>6</v>
      </c>
      <c r="P15" s="2">
        <v>0.23</v>
      </c>
      <c r="Q15" s="5">
        <v>0.91</v>
      </c>
      <c r="R15" s="2">
        <v>0.19</v>
      </c>
      <c r="S15" s="2">
        <v>2</v>
      </c>
      <c r="T15" s="2">
        <v>5</v>
      </c>
      <c r="U15" s="2">
        <v>0.19</v>
      </c>
      <c r="V15" s="2">
        <v>4</v>
      </c>
      <c r="W15" s="2">
        <v>295</v>
      </c>
      <c r="X15" s="2">
        <v>11.17</v>
      </c>
      <c r="Y15" s="2">
        <v>238</v>
      </c>
      <c r="Z15" s="2">
        <v>9.02</v>
      </c>
      <c r="AA15" s="2">
        <v>0.76</v>
      </c>
      <c r="AB15" s="5">
        <v>0.81</v>
      </c>
      <c r="AC15" s="2">
        <v>37</v>
      </c>
      <c r="AD15" s="2">
        <v>1.1399999999999999</v>
      </c>
      <c r="AE15" s="2">
        <v>30</v>
      </c>
      <c r="AF15" s="2">
        <v>11</v>
      </c>
      <c r="AG15" s="2">
        <v>0.42</v>
      </c>
      <c r="AH15" s="5">
        <v>0.81</v>
      </c>
      <c r="AI15" s="2">
        <v>93</v>
      </c>
      <c r="AJ15" s="2">
        <v>3.52</v>
      </c>
      <c r="AK15" s="2">
        <v>106</v>
      </c>
      <c r="AL15" s="2">
        <v>4.0199999999999996</v>
      </c>
      <c r="AM15" s="2">
        <v>44</v>
      </c>
      <c r="AN15" s="2">
        <v>1.67</v>
      </c>
      <c r="AO15" s="2">
        <v>6.93</v>
      </c>
      <c r="AP15" s="2">
        <v>20.72</v>
      </c>
      <c r="AQ15" s="27">
        <f>Data[[#This Row],[Pos Gan/90]]/Data[[#This Row],[Pos Perd/90]]</f>
        <v>2.9898989898989901</v>
      </c>
      <c r="AR15" s="2">
        <v>23</v>
      </c>
      <c r="AS15" s="2">
        <v>0.87</v>
      </c>
      <c r="AT15" s="2">
        <v>17</v>
      </c>
      <c r="AU15" s="2">
        <v>5</v>
      </c>
      <c r="AV15" s="2">
        <v>0</v>
      </c>
      <c r="AW15" s="2">
        <v>1</v>
      </c>
      <c r="AX15" s="2">
        <v>13</v>
      </c>
      <c r="AY15" s="2">
        <v>0.49</v>
      </c>
      <c r="AZ15" s="8">
        <v>0.91</v>
      </c>
    </row>
    <row r="16" spans="2:52" ht="15.75" thickBot="1" x14ac:dyDescent="0.3">
      <c r="B16" s="7" t="s">
        <v>155</v>
      </c>
      <c r="C16" s="2">
        <v>193</v>
      </c>
      <c r="D16" s="2" t="s">
        <v>142</v>
      </c>
      <c r="E16" s="3">
        <v>45473</v>
      </c>
      <c r="F16" s="2" t="s">
        <v>161</v>
      </c>
      <c r="G16" s="2">
        <v>409</v>
      </c>
      <c r="H16" s="2">
        <v>5</v>
      </c>
      <c r="I16" s="2" t="s">
        <v>163</v>
      </c>
      <c r="J16" s="2">
        <v>6.96</v>
      </c>
      <c r="K16" s="2">
        <v>60.51</v>
      </c>
      <c r="L16" s="2">
        <v>38.950000000000003</v>
      </c>
      <c r="M16" s="2">
        <v>4.84</v>
      </c>
      <c r="N16" s="2">
        <v>0.66</v>
      </c>
      <c r="O16" s="2">
        <v>3</v>
      </c>
      <c r="P16" s="2">
        <v>0.66</v>
      </c>
      <c r="Q16" s="5">
        <v>0.64</v>
      </c>
      <c r="R16" s="2">
        <v>0</v>
      </c>
      <c r="S16" s="2">
        <v>0</v>
      </c>
      <c r="T16" s="2">
        <v>0</v>
      </c>
      <c r="U16" s="2" t="s">
        <v>102</v>
      </c>
      <c r="V16" s="2">
        <v>1</v>
      </c>
      <c r="W16" s="2">
        <v>65</v>
      </c>
      <c r="X16" s="2">
        <v>14.3</v>
      </c>
      <c r="Y16" s="2">
        <v>57</v>
      </c>
      <c r="Z16" s="2">
        <v>12.54</v>
      </c>
      <c r="AA16" s="2">
        <v>0.22</v>
      </c>
      <c r="AB16" s="5">
        <v>0.88</v>
      </c>
      <c r="AC16" s="2">
        <v>2</v>
      </c>
      <c r="AD16" s="2">
        <v>0.44</v>
      </c>
      <c r="AE16" s="2">
        <v>2</v>
      </c>
      <c r="AF16" s="2">
        <v>0</v>
      </c>
      <c r="AG16" s="2">
        <v>0</v>
      </c>
      <c r="AH16" s="5">
        <v>1</v>
      </c>
      <c r="AI16" s="2">
        <v>23</v>
      </c>
      <c r="AJ16" s="2">
        <v>5.0599999999999996</v>
      </c>
      <c r="AK16" s="2">
        <v>15</v>
      </c>
      <c r="AL16" s="2">
        <v>3.3</v>
      </c>
      <c r="AM16" s="2">
        <v>7</v>
      </c>
      <c r="AN16" s="2">
        <v>1.54</v>
      </c>
      <c r="AO16" s="2">
        <v>22.44</v>
      </c>
      <c r="AP16" s="2">
        <v>33.67</v>
      </c>
      <c r="AQ16" s="27">
        <f>Data[[#This Row],[Pos Gan/90]]/Data[[#This Row],[Pos Perd/90]]</f>
        <v>1.500445632798574</v>
      </c>
      <c r="AR16" s="2">
        <v>7</v>
      </c>
      <c r="AS16" s="2">
        <v>1.54</v>
      </c>
      <c r="AT16" s="2">
        <v>6</v>
      </c>
      <c r="AU16" s="2">
        <v>1</v>
      </c>
      <c r="AV16" s="2">
        <v>0</v>
      </c>
      <c r="AW16" s="2">
        <v>0</v>
      </c>
      <c r="AX16" s="2">
        <v>3</v>
      </c>
      <c r="AY16" s="2">
        <v>0.66</v>
      </c>
      <c r="AZ16" s="8">
        <v>1.32</v>
      </c>
    </row>
    <row r="17" spans="2:52" ht="24.75" thickBot="1" x14ac:dyDescent="0.3">
      <c r="B17" s="7" t="s">
        <v>106</v>
      </c>
      <c r="C17" s="2">
        <v>190</v>
      </c>
      <c r="D17" s="2" t="s">
        <v>110</v>
      </c>
      <c r="E17" s="3">
        <v>45473</v>
      </c>
      <c r="F17" s="2" t="s">
        <v>111</v>
      </c>
      <c r="G17" s="2">
        <v>160</v>
      </c>
      <c r="H17" s="2" t="s">
        <v>112</v>
      </c>
      <c r="I17" s="2" t="s">
        <v>114</v>
      </c>
      <c r="J17" s="2">
        <v>6.33</v>
      </c>
      <c r="K17" s="2">
        <v>62.44</v>
      </c>
      <c r="L17" s="2">
        <v>59.62</v>
      </c>
      <c r="M17" s="2">
        <v>4.5</v>
      </c>
      <c r="N17" s="2" t="s">
        <v>102</v>
      </c>
      <c r="O17" s="2">
        <v>0</v>
      </c>
      <c r="P17" s="2">
        <v>0</v>
      </c>
      <c r="Q17" s="5">
        <v>0.95</v>
      </c>
      <c r="R17" s="2" t="s">
        <v>102</v>
      </c>
      <c r="S17" s="2">
        <v>0</v>
      </c>
      <c r="T17" s="2">
        <v>1</v>
      </c>
      <c r="U17" s="2">
        <v>0.56000000000000005</v>
      </c>
      <c r="V17" s="2">
        <v>1</v>
      </c>
      <c r="W17" s="2">
        <v>16</v>
      </c>
      <c r="X17" s="2">
        <v>9</v>
      </c>
      <c r="Y17" s="2">
        <v>12</v>
      </c>
      <c r="Z17" s="2">
        <v>6.75</v>
      </c>
      <c r="AA17" s="2">
        <v>0</v>
      </c>
      <c r="AB17" s="5">
        <v>0.75</v>
      </c>
      <c r="AC17" s="2">
        <v>1</v>
      </c>
      <c r="AD17" s="2">
        <v>0.56000000000000005</v>
      </c>
      <c r="AE17" s="2">
        <v>1</v>
      </c>
      <c r="AF17" s="2">
        <v>0</v>
      </c>
      <c r="AG17" s="2">
        <v>0</v>
      </c>
      <c r="AH17" s="5">
        <v>1</v>
      </c>
      <c r="AI17" s="2">
        <v>9</v>
      </c>
      <c r="AJ17" s="2">
        <v>5.0599999999999996</v>
      </c>
      <c r="AK17" s="2">
        <v>8</v>
      </c>
      <c r="AL17" s="2">
        <v>4.5</v>
      </c>
      <c r="AM17" s="2">
        <v>4</v>
      </c>
      <c r="AN17" s="2">
        <v>2.25</v>
      </c>
      <c r="AO17" s="2">
        <v>3.38</v>
      </c>
      <c r="AP17" s="2">
        <v>18</v>
      </c>
      <c r="AQ17" s="27">
        <f>Data[[#This Row],[Pos Gan/90]]/Data[[#This Row],[Pos Perd/90]]</f>
        <v>5.3254437869822491</v>
      </c>
      <c r="AR17" s="2">
        <v>3</v>
      </c>
      <c r="AS17" s="2">
        <v>1.69</v>
      </c>
      <c r="AT17" s="2">
        <v>4</v>
      </c>
      <c r="AU17" s="2">
        <v>0</v>
      </c>
      <c r="AV17" s="2">
        <v>1</v>
      </c>
      <c r="AW17" s="2">
        <v>0</v>
      </c>
      <c r="AX17" s="2">
        <v>1</v>
      </c>
      <c r="AY17" s="2">
        <v>0.56000000000000005</v>
      </c>
      <c r="AZ17" s="8">
        <v>0.56000000000000005</v>
      </c>
    </row>
    <row r="18" spans="2:52" ht="24.75" thickBot="1" x14ac:dyDescent="0.3">
      <c r="B18" s="7" t="s">
        <v>94</v>
      </c>
      <c r="C18" s="2">
        <v>191</v>
      </c>
      <c r="D18" s="2" t="s">
        <v>101</v>
      </c>
      <c r="E18" s="3">
        <v>46203</v>
      </c>
      <c r="F18" s="2" t="s">
        <v>103</v>
      </c>
      <c r="G18" s="4">
        <v>2750</v>
      </c>
      <c r="H18" s="2">
        <v>31</v>
      </c>
      <c r="I18" s="2" t="s">
        <v>105</v>
      </c>
      <c r="J18" s="2">
        <v>7.01</v>
      </c>
      <c r="K18" s="2">
        <v>75.599999999999994</v>
      </c>
      <c r="L18" s="2">
        <v>68.33</v>
      </c>
      <c r="M18" s="2">
        <v>4.16</v>
      </c>
      <c r="N18" s="2">
        <v>0.26</v>
      </c>
      <c r="O18" s="2">
        <v>8</v>
      </c>
      <c r="P18" s="2">
        <v>0.26</v>
      </c>
      <c r="Q18" s="5">
        <v>0.9</v>
      </c>
      <c r="R18" s="2">
        <v>0</v>
      </c>
      <c r="S18" s="2">
        <v>0</v>
      </c>
      <c r="T18" s="2">
        <v>5</v>
      </c>
      <c r="U18" s="2">
        <v>0.16</v>
      </c>
      <c r="V18" s="2">
        <v>9</v>
      </c>
      <c r="W18" s="2">
        <v>272</v>
      </c>
      <c r="X18" s="2">
        <v>8.9</v>
      </c>
      <c r="Y18" s="2">
        <v>212</v>
      </c>
      <c r="Z18" s="2">
        <v>6.94</v>
      </c>
      <c r="AA18" s="2">
        <v>0.82</v>
      </c>
      <c r="AB18" s="5">
        <v>0.78</v>
      </c>
      <c r="AC18" s="2">
        <v>34</v>
      </c>
      <c r="AD18" s="2">
        <v>0.92</v>
      </c>
      <c r="AE18" s="2">
        <v>28</v>
      </c>
      <c r="AF18" s="2">
        <v>6</v>
      </c>
      <c r="AG18" s="2">
        <v>0.2</v>
      </c>
      <c r="AH18" s="5">
        <v>0.82</v>
      </c>
      <c r="AI18" s="2">
        <v>90</v>
      </c>
      <c r="AJ18" s="2">
        <v>2.95</v>
      </c>
      <c r="AK18" s="2">
        <v>101</v>
      </c>
      <c r="AL18" s="2">
        <v>3.31</v>
      </c>
      <c r="AM18" s="2">
        <v>40</v>
      </c>
      <c r="AN18" s="2">
        <v>1.31</v>
      </c>
      <c r="AO18" s="2">
        <v>3.14</v>
      </c>
      <c r="AP18" s="2">
        <v>19.34</v>
      </c>
      <c r="AQ18" s="27">
        <f>Data[[#This Row],[Pos Gan/90]]/Data[[#This Row],[Pos Perd/90]]</f>
        <v>6.1592356687898082</v>
      </c>
      <c r="AR18" s="2">
        <v>25</v>
      </c>
      <c r="AS18" s="2">
        <v>0.82</v>
      </c>
      <c r="AT18" s="2">
        <v>22</v>
      </c>
      <c r="AU18" s="2">
        <v>0</v>
      </c>
      <c r="AV18" s="2">
        <v>0</v>
      </c>
      <c r="AW18" s="2">
        <v>1</v>
      </c>
      <c r="AX18" s="2">
        <v>17</v>
      </c>
      <c r="AY18" s="2">
        <v>0.56000000000000005</v>
      </c>
      <c r="AZ18" s="8">
        <v>1.44</v>
      </c>
    </row>
    <row r="19" spans="2:52" ht="15.75" thickBot="1" x14ac:dyDescent="0.3">
      <c r="B19" s="7" t="s">
        <v>195</v>
      </c>
      <c r="C19" s="2">
        <v>193</v>
      </c>
      <c r="D19" s="2" t="s">
        <v>199</v>
      </c>
      <c r="E19" s="3">
        <v>46934</v>
      </c>
      <c r="F19" s="2" t="s">
        <v>200</v>
      </c>
      <c r="G19" s="4">
        <v>1756</v>
      </c>
      <c r="H19" s="2">
        <v>22</v>
      </c>
      <c r="I19" s="2" t="s">
        <v>202</v>
      </c>
      <c r="J19" s="2">
        <v>6.94</v>
      </c>
      <c r="K19" s="2">
        <v>68.88</v>
      </c>
      <c r="L19" s="2">
        <v>60.38</v>
      </c>
      <c r="M19" s="2">
        <v>4.51</v>
      </c>
      <c r="N19" s="2">
        <v>0.36</v>
      </c>
      <c r="O19" s="2">
        <v>7</v>
      </c>
      <c r="P19" s="2">
        <v>0.36</v>
      </c>
      <c r="Q19" s="5">
        <v>0.88</v>
      </c>
      <c r="R19" s="2">
        <v>0.1</v>
      </c>
      <c r="S19" s="2">
        <v>0</v>
      </c>
      <c r="T19" s="2">
        <v>9</v>
      </c>
      <c r="U19" s="2">
        <v>0.46</v>
      </c>
      <c r="V19" s="2">
        <v>4</v>
      </c>
      <c r="W19" s="2">
        <v>185</v>
      </c>
      <c r="X19" s="2">
        <v>9.48</v>
      </c>
      <c r="Y19" s="2">
        <v>144</v>
      </c>
      <c r="Z19" s="2">
        <v>7.38</v>
      </c>
      <c r="AA19" s="2">
        <v>0.92</v>
      </c>
      <c r="AB19" s="5">
        <v>0.78</v>
      </c>
      <c r="AC19" s="2">
        <v>24</v>
      </c>
      <c r="AD19" s="2">
        <v>1.18</v>
      </c>
      <c r="AE19" s="2">
        <v>23</v>
      </c>
      <c r="AF19" s="2">
        <v>2</v>
      </c>
      <c r="AG19" s="2">
        <v>0.1</v>
      </c>
      <c r="AH19" s="5">
        <v>0.96</v>
      </c>
      <c r="AI19" s="2">
        <v>41</v>
      </c>
      <c r="AJ19" s="2">
        <v>2.1</v>
      </c>
      <c r="AK19" s="2">
        <v>67</v>
      </c>
      <c r="AL19" s="2">
        <v>3.43</v>
      </c>
      <c r="AM19" s="2">
        <v>29</v>
      </c>
      <c r="AN19" s="2">
        <v>1.49</v>
      </c>
      <c r="AO19" s="2">
        <v>3.23</v>
      </c>
      <c r="AP19" s="2">
        <v>19.48</v>
      </c>
      <c r="AQ19" s="27">
        <f>Data[[#This Row],[Pos Gan/90]]/Data[[#This Row],[Pos Perd/90]]</f>
        <v>6.0309597523219818</v>
      </c>
      <c r="AR19" s="2">
        <v>21</v>
      </c>
      <c r="AS19" s="2">
        <v>1.08</v>
      </c>
      <c r="AT19" s="2">
        <v>14</v>
      </c>
      <c r="AU19" s="2">
        <v>3</v>
      </c>
      <c r="AV19" s="2">
        <v>0</v>
      </c>
      <c r="AW19" s="2">
        <v>0</v>
      </c>
      <c r="AX19" s="2">
        <v>12</v>
      </c>
      <c r="AY19" s="2">
        <v>0.62</v>
      </c>
      <c r="AZ19" s="8">
        <v>1.18</v>
      </c>
    </row>
    <row r="20" spans="2:52" ht="15.75" thickBot="1" x14ac:dyDescent="0.3">
      <c r="B20" s="7" t="s">
        <v>137</v>
      </c>
      <c r="C20" s="2">
        <v>190</v>
      </c>
      <c r="D20" s="2" t="s">
        <v>142</v>
      </c>
      <c r="E20" s="3">
        <v>46752</v>
      </c>
      <c r="F20" s="2" t="s">
        <v>143</v>
      </c>
      <c r="G20" s="2">
        <v>331</v>
      </c>
      <c r="H20" s="2">
        <v>4</v>
      </c>
      <c r="I20" s="2" t="s">
        <v>105</v>
      </c>
      <c r="J20" s="2">
        <v>7.15</v>
      </c>
      <c r="K20" s="2">
        <v>62.54</v>
      </c>
      <c r="L20" s="2">
        <v>51.12</v>
      </c>
      <c r="M20" s="2">
        <v>3.81</v>
      </c>
      <c r="N20" s="2">
        <v>0.27</v>
      </c>
      <c r="O20" s="2">
        <v>1</v>
      </c>
      <c r="P20" s="2">
        <v>0.27</v>
      </c>
      <c r="Q20" s="5">
        <v>0.82</v>
      </c>
      <c r="R20" s="2">
        <v>0</v>
      </c>
      <c r="S20" s="2">
        <v>0</v>
      </c>
      <c r="T20" s="2">
        <v>0</v>
      </c>
      <c r="U20" s="2" t="s">
        <v>102</v>
      </c>
      <c r="V20" s="2">
        <v>0</v>
      </c>
      <c r="W20" s="2">
        <v>38</v>
      </c>
      <c r="X20" s="2">
        <v>10.33</v>
      </c>
      <c r="Y20" s="2">
        <v>33</v>
      </c>
      <c r="Z20" s="2">
        <v>8.9700000000000006</v>
      </c>
      <c r="AA20" s="2">
        <v>0.27</v>
      </c>
      <c r="AB20" s="5">
        <v>0.87</v>
      </c>
      <c r="AC20" s="2">
        <v>4</v>
      </c>
      <c r="AD20" s="2">
        <v>1.0900000000000001</v>
      </c>
      <c r="AE20" s="2">
        <v>4</v>
      </c>
      <c r="AF20" s="2">
        <v>1</v>
      </c>
      <c r="AG20" s="2">
        <v>0.27</v>
      </c>
      <c r="AH20" s="5">
        <v>1</v>
      </c>
      <c r="AI20" s="2">
        <v>13</v>
      </c>
      <c r="AJ20" s="2">
        <v>3.53</v>
      </c>
      <c r="AK20" s="2">
        <v>11</v>
      </c>
      <c r="AL20" s="2">
        <v>2.99</v>
      </c>
      <c r="AM20" s="2">
        <v>6</v>
      </c>
      <c r="AN20" s="2">
        <v>1.63</v>
      </c>
      <c r="AO20" s="2">
        <v>3.26</v>
      </c>
      <c r="AP20" s="2">
        <v>23.93</v>
      </c>
      <c r="AQ20" s="27">
        <f>Data[[#This Row],[Pos Gan/90]]/Data[[#This Row],[Pos Perd/90]]</f>
        <v>7.3404907975460123</v>
      </c>
      <c r="AR20" s="2">
        <v>5</v>
      </c>
      <c r="AS20" s="2">
        <v>1.36</v>
      </c>
      <c r="AT20" s="2">
        <v>1</v>
      </c>
      <c r="AU20" s="2">
        <v>1</v>
      </c>
      <c r="AV20" s="2">
        <v>0</v>
      </c>
      <c r="AW20" s="2">
        <v>0</v>
      </c>
      <c r="AX20" s="2">
        <v>4</v>
      </c>
      <c r="AY20" s="2">
        <v>1.0900000000000001</v>
      </c>
      <c r="AZ20" s="8">
        <v>0.82</v>
      </c>
    </row>
    <row r="21" spans="2:52" ht="15.75" thickBot="1" x14ac:dyDescent="0.3">
      <c r="B21" s="7" t="s">
        <v>164</v>
      </c>
      <c r="C21" s="2">
        <v>190</v>
      </c>
      <c r="D21" s="2" t="s">
        <v>169</v>
      </c>
      <c r="E21" s="3">
        <v>45838</v>
      </c>
      <c r="F21" s="2" t="s">
        <v>170</v>
      </c>
      <c r="G21" s="4">
        <v>1285</v>
      </c>
      <c r="H21" s="2">
        <v>15</v>
      </c>
      <c r="I21" s="2" t="s">
        <v>172</v>
      </c>
      <c r="J21" s="2">
        <v>6.76</v>
      </c>
      <c r="K21" s="2">
        <v>64.44</v>
      </c>
      <c r="L21" s="2">
        <v>42.72</v>
      </c>
      <c r="M21" s="2">
        <v>5.18</v>
      </c>
      <c r="N21" s="2">
        <v>0.28000000000000003</v>
      </c>
      <c r="O21" s="2">
        <v>4</v>
      </c>
      <c r="P21" s="2">
        <v>0.28000000000000003</v>
      </c>
      <c r="Q21" s="5">
        <v>0.66</v>
      </c>
      <c r="R21" s="2">
        <v>7.0000000000000007E-2</v>
      </c>
      <c r="S21" s="2">
        <v>0</v>
      </c>
      <c r="T21" s="2">
        <v>4</v>
      </c>
      <c r="U21" s="2">
        <v>0.28000000000000003</v>
      </c>
      <c r="V21" s="2">
        <v>6</v>
      </c>
      <c r="W21" s="2">
        <v>203</v>
      </c>
      <c r="X21" s="2">
        <v>14.22</v>
      </c>
      <c r="Y21" s="2">
        <v>167</v>
      </c>
      <c r="Z21" s="2">
        <v>11.7</v>
      </c>
      <c r="AA21" s="2">
        <v>0.77</v>
      </c>
      <c r="AB21" s="5">
        <v>0.82</v>
      </c>
      <c r="AC21" s="2">
        <v>13</v>
      </c>
      <c r="AD21" s="2">
        <v>0.77</v>
      </c>
      <c r="AE21" s="2">
        <v>11</v>
      </c>
      <c r="AF21" s="2">
        <v>3</v>
      </c>
      <c r="AG21" s="2">
        <v>0.21</v>
      </c>
      <c r="AH21" s="5">
        <v>0.85</v>
      </c>
      <c r="AI21" s="2">
        <v>46</v>
      </c>
      <c r="AJ21" s="2">
        <v>3.22</v>
      </c>
      <c r="AK21" s="2">
        <v>46</v>
      </c>
      <c r="AL21" s="2">
        <v>3.22</v>
      </c>
      <c r="AM21" s="2">
        <v>30</v>
      </c>
      <c r="AN21" s="2">
        <v>2.1</v>
      </c>
      <c r="AO21" s="2">
        <v>2.31</v>
      </c>
      <c r="AP21" s="2">
        <v>18.7</v>
      </c>
      <c r="AQ21" s="27">
        <f>Data[[#This Row],[Pos Gan/90]]/Data[[#This Row],[Pos Perd/90]]</f>
        <v>8.0952380952380949</v>
      </c>
      <c r="AR21" s="2">
        <v>22</v>
      </c>
      <c r="AS21" s="2">
        <v>1.54</v>
      </c>
      <c r="AT21" s="2">
        <v>14</v>
      </c>
      <c r="AU21" s="2">
        <v>3</v>
      </c>
      <c r="AV21" s="2">
        <v>0</v>
      </c>
      <c r="AW21" s="2">
        <v>0</v>
      </c>
      <c r="AX21" s="2">
        <v>6</v>
      </c>
      <c r="AY21" s="2">
        <v>0.42</v>
      </c>
      <c r="AZ21" s="8">
        <v>0.63</v>
      </c>
    </row>
    <row r="22" spans="2:52" ht="15.75" thickBot="1" x14ac:dyDescent="0.3">
      <c r="B22" s="7" t="s">
        <v>289</v>
      </c>
      <c r="C22" s="2">
        <v>192</v>
      </c>
      <c r="D22" s="2" t="s">
        <v>292</v>
      </c>
      <c r="E22" s="3">
        <v>46203</v>
      </c>
      <c r="F22" s="2" t="s">
        <v>293</v>
      </c>
      <c r="G22" s="4">
        <v>1736</v>
      </c>
      <c r="H22" s="2" t="s">
        <v>294</v>
      </c>
      <c r="I22" s="2" t="s">
        <v>296</v>
      </c>
      <c r="J22" s="2">
        <v>7.1</v>
      </c>
      <c r="K22" s="2">
        <v>101.3</v>
      </c>
      <c r="L22" s="2">
        <v>94.2</v>
      </c>
      <c r="M22" s="2">
        <v>5.44</v>
      </c>
      <c r="N22" s="2">
        <v>0.67</v>
      </c>
      <c r="O22" s="2">
        <v>13</v>
      </c>
      <c r="P22" s="2">
        <v>0.67</v>
      </c>
      <c r="Q22" s="5">
        <v>0.93</v>
      </c>
      <c r="R22" s="2">
        <v>0.26</v>
      </c>
      <c r="S22" s="2">
        <v>0</v>
      </c>
      <c r="T22" s="2">
        <v>12</v>
      </c>
      <c r="U22" s="2">
        <v>0.62</v>
      </c>
      <c r="V22" s="2">
        <v>7</v>
      </c>
      <c r="W22" s="2">
        <v>166</v>
      </c>
      <c r="X22" s="2">
        <v>8.61</v>
      </c>
      <c r="Y22" s="2">
        <v>137</v>
      </c>
      <c r="Z22" s="2">
        <v>7.1</v>
      </c>
      <c r="AA22" s="2">
        <v>0.73</v>
      </c>
      <c r="AB22" s="5">
        <v>0.83</v>
      </c>
      <c r="AC22" s="2">
        <v>34</v>
      </c>
      <c r="AD22" s="2">
        <v>1.35</v>
      </c>
      <c r="AE22" s="2">
        <v>26</v>
      </c>
      <c r="AF22" s="2">
        <v>3</v>
      </c>
      <c r="AG22" s="2">
        <v>0.16</v>
      </c>
      <c r="AH22" s="5">
        <v>0.76</v>
      </c>
      <c r="AI22" s="2">
        <v>74</v>
      </c>
      <c r="AJ22" s="2">
        <v>3.84</v>
      </c>
      <c r="AK22" s="2">
        <v>166</v>
      </c>
      <c r="AL22" s="2">
        <v>8.61</v>
      </c>
      <c r="AM22" s="2">
        <v>53</v>
      </c>
      <c r="AN22" s="2">
        <v>2.75</v>
      </c>
      <c r="AO22" s="2">
        <v>9.85</v>
      </c>
      <c r="AP22" s="2">
        <v>19.440000000000001</v>
      </c>
      <c r="AQ22" s="27">
        <f>Data[[#This Row],[Pos Gan/90]]/Data[[#This Row],[Pos Perd/90]]</f>
        <v>1.9736040609137058</v>
      </c>
      <c r="AR22" s="2">
        <v>24</v>
      </c>
      <c r="AS22" s="2">
        <v>1.24</v>
      </c>
      <c r="AT22" s="2">
        <v>20</v>
      </c>
      <c r="AU22" s="2">
        <v>5</v>
      </c>
      <c r="AV22" s="2">
        <v>0</v>
      </c>
      <c r="AW22" s="2">
        <v>1</v>
      </c>
      <c r="AX22" s="2">
        <v>8</v>
      </c>
      <c r="AY22" s="2">
        <v>0.41</v>
      </c>
      <c r="AZ22" s="8">
        <v>0.88</v>
      </c>
    </row>
    <row r="23" spans="2:52" ht="15.75" thickBot="1" x14ac:dyDescent="0.3">
      <c r="B23" s="7" t="s">
        <v>252</v>
      </c>
      <c r="C23" s="2">
        <v>191</v>
      </c>
      <c r="D23" s="2" t="s">
        <v>101</v>
      </c>
      <c r="E23" s="3">
        <v>46568</v>
      </c>
      <c r="F23" s="2" t="s">
        <v>257</v>
      </c>
      <c r="G23" s="4">
        <v>1893</v>
      </c>
      <c r="H23" s="2">
        <v>22</v>
      </c>
      <c r="I23" s="2" t="s">
        <v>225</v>
      </c>
      <c r="J23" s="2">
        <v>7.09</v>
      </c>
      <c r="K23" s="2">
        <v>82.3</v>
      </c>
      <c r="L23" s="2">
        <v>73.5</v>
      </c>
      <c r="M23" s="2">
        <v>6.28</v>
      </c>
      <c r="N23" s="2">
        <v>0.19</v>
      </c>
      <c r="O23" s="2">
        <v>4</v>
      </c>
      <c r="P23" s="2">
        <v>0.19</v>
      </c>
      <c r="Q23" s="5">
        <v>0.89</v>
      </c>
      <c r="R23" s="2">
        <v>0.43</v>
      </c>
      <c r="S23" s="2">
        <v>3</v>
      </c>
      <c r="T23" s="2">
        <v>4</v>
      </c>
      <c r="U23" s="2">
        <v>0.19</v>
      </c>
      <c r="V23" s="2">
        <v>10</v>
      </c>
      <c r="W23" s="2">
        <v>167</v>
      </c>
      <c r="X23" s="2">
        <v>7.94</v>
      </c>
      <c r="Y23" s="2">
        <v>128</v>
      </c>
      <c r="Z23" s="2">
        <v>6.09</v>
      </c>
      <c r="AA23" s="2">
        <v>0.38</v>
      </c>
      <c r="AB23" s="5">
        <v>0.77</v>
      </c>
      <c r="AC23" s="2">
        <v>20</v>
      </c>
      <c r="AD23" s="2">
        <v>0.86</v>
      </c>
      <c r="AE23" s="2">
        <v>18</v>
      </c>
      <c r="AF23" s="2">
        <v>4</v>
      </c>
      <c r="AG23" s="2">
        <v>0.19</v>
      </c>
      <c r="AH23" s="5">
        <v>0.9</v>
      </c>
      <c r="AI23" s="2">
        <v>95</v>
      </c>
      <c r="AJ23" s="2">
        <v>4.5199999999999996</v>
      </c>
      <c r="AK23" s="2">
        <v>72</v>
      </c>
      <c r="AL23" s="2">
        <v>3.42</v>
      </c>
      <c r="AM23" s="2">
        <v>24</v>
      </c>
      <c r="AN23" s="2">
        <v>1.1399999999999999</v>
      </c>
      <c r="AO23" s="2">
        <v>4.5599999999999996</v>
      </c>
      <c r="AP23" s="2">
        <v>20.78</v>
      </c>
      <c r="AQ23" s="27">
        <f>Data[[#This Row],[Pos Gan/90]]/Data[[#This Row],[Pos Perd/90]]</f>
        <v>4.5570175438596499</v>
      </c>
      <c r="AR23" s="2">
        <v>22</v>
      </c>
      <c r="AS23" s="2">
        <v>1.05</v>
      </c>
      <c r="AT23" s="2">
        <v>14</v>
      </c>
      <c r="AU23" s="2">
        <v>1</v>
      </c>
      <c r="AV23" s="2">
        <v>0</v>
      </c>
      <c r="AW23" s="2">
        <v>0</v>
      </c>
      <c r="AX23" s="2">
        <v>13</v>
      </c>
      <c r="AY23" s="2">
        <v>0.62</v>
      </c>
      <c r="AZ23" s="8">
        <v>0.81</v>
      </c>
    </row>
    <row r="24" spans="2:52" ht="24.75" thickBot="1" x14ac:dyDescent="0.3">
      <c r="B24" s="7" t="s">
        <v>237</v>
      </c>
      <c r="C24" s="2">
        <v>196</v>
      </c>
      <c r="D24" s="2" t="s">
        <v>242</v>
      </c>
      <c r="E24" s="3">
        <v>46568</v>
      </c>
      <c r="F24" s="2" t="s">
        <v>243</v>
      </c>
      <c r="G24" s="4">
        <v>1939</v>
      </c>
      <c r="H24" s="2">
        <v>22</v>
      </c>
      <c r="I24" s="2" t="s">
        <v>225</v>
      </c>
      <c r="J24" s="2">
        <v>7.02</v>
      </c>
      <c r="K24" s="2">
        <v>66.19</v>
      </c>
      <c r="L24" s="2">
        <v>58.99</v>
      </c>
      <c r="M24" s="2">
        <v>4.41</v>
      </c>
      <c r="N24" s="2">
        <v>0.37</v>
      </c>
      <c r="O24" s="2">
        <v>8</v>
      </c>
      <c r="P24" s="2">
        <v>0.37</v>
      </c>
      <c r="Q24" s="5">
        <v>0.89</v>
      </c>
      <c r="R24" s="2">
        <v>0.14000000000000001</v>
      </c>
      <c r="S24" s="2">
        <v>0</v>
      </c>
      <c r="T24" s="2">
        <v>7</v>
      </c>
      <c r="U24" s="2">
        <v>0.32</v>
      </c>
      <c r="V24" s="2">
        <v>19</v>
      </c>
      <c r="W24" s="2">
        <v>183</v>
      </c>
      <c r="X24" s="2">
        <v>8.49</v>
      </c>
      <c r="Y24" s="2">
        <v>141</v>
      </c>
      <c r="Z24" s="2">
        <v>6.54</v>
      </c>
      <c r="AA24" s="2">
        <v>0.79</v>
      </c>
      <c r="AB24" s="5">
        <v>0.77</v>
      </c>
      <c r="AC24" s="2">
        <v>24</v>
      </c>
      <c r="AD24" s="2">
        <v>0.97</v>
      </c>
      <c r="AE24" s="2">
        <v>21</v>
      </c>
      <c r="AF24" s="2">
        <v>6</v>
      </c>
      <c r="AG24" s="2">
        <v>0.28000000000000003</v>
      </c>
      <c r="AH24" s="5">
        <v>0.88</v>
      </c>
      <c r="AI24" s="2">
        <v>65</v>
      </c>
      <c r="AJ24" s="2">
        <v>3.02</v>
      </c>
      <c r="AK24" s="2">
        <v>69</v>
      </c>
      <c r="AL24" s="2">
        <v>3.2</v>
      </c>
      <c r="AM24" s="2">
        <v>29</v>
      </c>
      <c r="AN24" s="2">
        <v>1.35</v>
      </c>
      <c r="AO24" s="2">
        <v>2.5099999999999998</v>
      </c>
      <c r="AP24" s="2">
        <v>18.29</v>
      </c>
      <c r="AQ24" s="27">
        <f>Data[[#This Row],[Pos Gan/90]]/Data[[#This Row],[Pos Perd/90]]</f>
        <v>7.2868525896414349</v>
      </c>
      <c r="AR24" s="2">
        <v>27</v>
      </c>
      <c r="AS24" s="2">
        <v>1.25</v>
      </c>
      <c r="AT24" s="2">
        <v>20</v>
      </c>
      <c r="AU24" s="2">
        <v>5</v>
      </c>
      <c r="AV24" s="2">
        <v>0</v>
      </c>
      <c r="AW24" s="2">
        <v>0</v>
      </c>
      <c r="AX24" s="2">
        <v>15</v>
      </c>
      <c r="AY24" s="2">
        <v>0.7</v>
      </c>
      <c r="AZ24" s="8">
        <v>0.97</v>
      </c>
    </row>
    <row r="25" spans="2:52" ht="15.75" thickBot="1" x14ac:dyDescent="0.3">
      <c r="B25" s="7" t="s">
        <v>245</v>
      </c>
      <c r="C25" s="2">
        <v>191</v>
      </c>
      <c r="D25" s="2" t="s">
        <v>215</v>
      </c>
      <c r="E25" s="3">
        <v>45838</v>
      </c>
      <c r="F25" s="2" t="s">
        <v>249</v>
      </c>
      <c r="G25" s="4">
        <v>3209</v>
      </c>
      <c r="H25" s="2">
        <v>36</v>
      </c>
      <c r="I25" s="2" t="s">
        <v>251</v>
      </c>
      <c r="J25" s="2">
        <v>6.89</v>
      </c>
      <c r="K25" s="2">
        <v>63.24</v>
      </c>
      <c r="L25" s="2">
        <v>42.32</v>
      </c>
      <c r="M25" s="2">
        <v>4.3499999999999996</v>
      </c>
      <c r="N25" s="2">
        <v>1.26</v>
      </c>
      <c r="O25" s="2">
        <v>21</v>
      </c>
      <c r="P25" s="2">
        <v>0.59</v>
      </c>
      <c r="Q25" s="5">
        <v>0.67</v>
      </c>
      <c r="R25" s="2">
        <v>0.08</v>
      </c>
      <c r="S25" s="2">
        <v>0</v>
      </c>
      <c r="T25" s="2">
        <v>4</v>
      </c>
      <c r="U25" s="2">
        <v>0.11</v>
      </c>
      <c r="V25" s="2">
        <v>9</v>
      </c>
      <c r="W25" s="2">
        <v>528</v>
      </c>
      <c r="X25" s="2">
        <v>14.81</v>
      </c>
      <c r="Y25" s="2">
        <v>438</v>
      </c>
      <c r="Z25" s="2">
        <v>12.28</v>
      </c>
      <c r="AA25" s="2">
        <v>0.5</v>
      </c>
      <c r="AB25" s="5">
        <v>0.83</v>
      </c>
      <c r="AC25" s="2">
        <v>42</v>
      </c>
      <c r="AD25" s="2">
        <v>0.98</v>
      </c>
      <c r="AE25" s="2">
        <v>35</v>
      </c>
      <c r="AF25" s="2">
        <v>11</v>
      </c>
      <c r="AG25" s="2">
        <v>0.31</v>
      </c>
      <c r="AH25" s="5">
        <v>0.83</v>
      </c>
      <c r="AI25" s="2">
        <v>126</v>
      </c>
      <c r="AJ25" s="2">
        <v>3.53</v>
      </c>
      <c r="AK25" s="2">
        <v>129</v>
      </c>
      <c r="AL25" s="2">
        <v>3.62</v>
      </c>
      <c r="AM25" s="2">
        <v>63</v>
      </c>
      <c r="AN25" s="2">
        <v>1.77</v>
      </c>
      <c r="AO25" s="2">
        <v>2.89</v>
      </c>
      <c r="AP25" s="2">
        <v>19.100000000000001</v>
      </c>
      <c r="AQ25" s="27">
        <f>Data[[#This Row],[Pos Gan/90]]/Data[[#This Row],[Pos Perd/90]]</f>
        <v>6.608996539792388</v>
      </c>
      <c r="AR25" s="2">
        <v>61</v>
      </c>
      <c r="AS25" s="2">
        <v>1.71</v>
      </c>
      <c r="AT25" s="2">
        <v>30</v>
      </c>
      <c r="AU25" s="2">
        <v>3</v>
      </c>
      <c r="AV25" s="2">
        <v>0</v>
      </c>
      <c r="AW25" s="2">
        <v>0</v>
      </c>
      <c r="AX25" s="2">
        <v>20</v>
      </c>
      <c r="AY25" s="2">
        <v>0.56000000000000005</v>
      </c>
      <c r="AZ25" s="8">
        <v>1.21</v>
      </c>
    </row>
    <row r="26" spans="2:52" ht="15.75" thickBot="1" x14ac:dyDescent="0.3">
      <c r="B26" s="7" t="s">
        <v>269</v>
      </c>
      <c r="C26" s="2">
        <v>192</v>
      </c>
      <c r="D26" s="2" t="s">
        <v>142</v>
      </c>
      <c r="E26" s="3">
        <v>45473</v>
      </c>
      <c r="F26" s="2" t="s">
        <v>273</v>
      </c>
      <c r="G26" s="2">
        <v>720</v>
      </c>
      <c r="H26" s="2">
        <v>8</v>
      </c>
      <c r="I26" s="2" t="s">
        <v>235</v>
      </c>
      <c r="J26" s="2">
        <v>6.72</v>
      </c>
      <c r="K26" s="2">
        <v>64.88</v>
      </c>
      <c r="L26" s="2">
        <v>47.38</v>
      </c>
      <c r="M26" s="2">
        <v>3.88</v>
      </c>
      <c r="N26" s="2">
        <v>0.38</v>
      </c>
      <c r="O26" s="2">
        <v>3</v>
      </c>
      <c r="P26" s="2">
        <v>0.38</v>
      </c>
      <c r="Q26" s="5">
        <v>0.73</v>
      </c>
      <c r="R26" s="2">
        <v>0.38</v>
      </c>
      <c r="S26" s="2">
        <v>1</v>
      </c>
      <c r="T26" s="2">
        <v>1</v>
      </c>
      <c r="U26" s="2">
        <v>0.12</v>
      </c>
      <c r="V26" s="2">
        <v>2</v>
      </c>
      <c r="W26" s="2">
        <v>134</v>
      </c>
      <c r="X26" s="2">
        <v>16.75</v>
      </c>
      <c r="Y26" s="2">
        <v>111</v>
      </c>
      <c r="Z26" s="2">
        <v>13.88</v>
      </c>
      <c r="AA26" s="2">
        <v>0.12</v>
      </c>
      <c r="AB26" s="5">
        <v>0.83</v>
      </c>
      <c r="AC26" s="2">
        <v>2</v>
      </c>
      <c r="AD26" s="2">
        <v>0.25</v>
      </c>
      <c r="AE26" s="2">
        <v>2</v>
      </c>
      <c r="AF26" s="2">
        <v>1</v>
      </c>
      <c r="AG26" s="2">
        <v>0.12</v>
      </c>
      <c r="AH26" s="5">
        <v>1</v>
      </c>
      <c r="AI26" s="2">
        <v>36</v>
      </c>
      <c r="AJ26" s="2">
        <v>4.5</v>
      </c>
      <c r="AK26" s="2">
        <v>23</v>
      </c>
      <c r="AL26" s="2">
        <v>2.88</v>
      </c>
      <c r="AM26" s="2">
        <v>10</v>
      </c>
      <c r="AN26" s="2">
        <v>1.25</v>
      </c>
      <c r="AO26" s="2">
        <v>3.25</v>
      </c>
      <c r="AP26" s="2">
        <v>18.75</v>
      </c>
      <c r="AQ26" s="27">
        <f>Data[[#This Row],[Pos Gan/90]]/Data[[#This Row],[Pos Perd/90]]</f>
        <v>5.7692307692307692</v>
      </c>
      <c r="AR26" s="2">
        <v>11</v>
      </c>
      <c r="AS26" s="2">
        <v>1.38</v>
      </c>
      <c r="AT26" s="2">
        <v>6</v>
      </c>
      <c r="AU26" s="2">
        <v>1</v>
      </c>
      <c r="AV26" s="2">
        <v>0</v>
      </c>
      <c r="AW26" s="2">
        <v>0</v>
      </c>
      <c r="AX26" s="2">
        <v>4</v>
      </c>
      <c r="AY26" s="2">
        <v>0.5</v>
      </c>
      <c r="AZ26" s="8">
        <v>1.1200000000000001</v>
      </c>
    </row>
    <row r="27" spans="2:52" ht="24.75" thickBot="1" x14ac:dyDescent="0.3">
      <c r="B27" s="7" t="s">
        <v>210</v>
      </c>
      <c r="C27" s="2">
        <v>194</v>
      </c>
      <c r="D27" s="2" t="s">
        <v>215</v>
      </c>
      <c r="E27" s="3">
        <v>46568</v>
      </c>
      <c r="F27" s="2" t="s">
        <v>216</v>
      </c>
      <c r="G27" s="4">
        <v>1550</v>
      </c>
      <c r="H27" s="2">
        <v>18</v>
      </c>
      <c r="I27" s="2" t="s">
        <v>154</v>
      </c>
      <c r="J27" s="2">
        <v>6.9</v>
      </c>
      <c r="K27" s="2">
        <v>63.93</v>
      </c>
      <c r="L27" s="2">
        <v>57.43</v>
      </c>
      <c r="M27" s="2">
        <v>4.3</v>
      </c>
      <c r="N27" s="2" t="s">
        <v>102</v>
      </c>
      <c r="O27" s="2">
        <v>0</v>
      </c>
      <c r="P27" s="2">
        <v>0</v>
      </c>
      <c r="Q27" s="5">
        <v>0.9</v>
      </c>
      <c r="R27" s="2">
        <v>0</v>
      </c>
      <c r="S27" s="2">
        <v>0</v>
      </c>
      <c r="T27" s="2">
        <v>3</v>
      </c>
      <c r="U27" s="2">
        <v>0.17</v>
      </c>
      <c r="V27" s="2">
        <v>3</v>
      </c>
      <c r="W27" s="2">
        <v>149</v>
      </c>
      <c r="X27" s="2">
        <v>8.65</v>
      </c>
      <c r="Y27" s="2">
        <v>115</v>
      </c>
      <c r="Z27" s="2">
        <v>6.68</v>
      </c>
      <c r="AA27" s="2">
        <v>0.81</v>
      </c>
      <c r="AB27" s="5">
        <v>0.77</v>
      </c>
      <c r="AC27" s="2">
        <v>24</v>
      </c>
      <c r="AD27" s="2">
        <v>1.34</v>
      </c>
      <c r="AE27" s="2">
        <v>23</v>
      </c>
      <c r="AF27" s="2">
        <v>5</v>
      </c>
      <c r="AG27" s="2">
        <v>0.28999999999999998</v>
      </c>
      <c r="AH27" s="5">
        <v>0.96</v>
      </c>
      <c r="AI27" s="2">
        <v>42</v>
      </c>
      <c r="AJ27" s="2">
        <v>2.44</v>
      </c>
      <c r="AK27" s="2">
        <v>76</v>
      </c>
      <c r="AL27" s="2">
        <v>4.41</v>
      </c>
      <c r="AM27" s="2">
        <v>33</v>
      </c>
      <c r="AN27" s="2">
        <v>1.92</v>
      </c>
      <c r="AO27" s="2">
        <v>3.19</v>
      </c>
      <c r="AP27" s="2">
        <v>18.64</v>
      </c>
      <c r="AQ27" s="27">
        <f>Data[[#This Row],[Pos Gan/90]]/Data[[#This Row],[Pos Perd/90]]</f>
        <v>5.8432601880877746</v>
      </c>
      <c r="AR27" s="2">
        <v>18</v>
      </c>
      <c r="AS27" s="2">
        <v>1.05</v>
      </c>
      <c r="AT27" s="2">
        <v>17</v>
      </c>
      <c r="AU27" s="2">
        <v>5</v>
      </c>
      <c r="AV27" s="2">
        <v>0</v>
      </c>
      <c r="AW27" s="2">
        <v>0</v>
      </c>
      <c r="AX27" s="2">
        <v>12</v>
      </c>
      <c r="AY27" s="2">
        <v>0.7</v>
      </c>
      <c r="AZ27" s="8">
        <v>1.1599999999999999</v>
      </c>
    </row>
    <row r="28" spans="2:52" ht="15.75" thickBot="1" x14ac:dyDescent="0.3">
      <c r="B28" s="11" t="s">
        <v>116</v>
      </c>
      <c r="C28" s="12">
        <v>194</v>
      </c>
      <c r="D28" s="12" t="s">
        <v>101</v>
      </c>
      <c r="E28" s="13">
        <v>45838</v>
      </c>
      <c r="F28" s="12" t="s">
        <v>123</v>
      </c>
      <c r="G28" s="14">
        <v>3176</v>
      </c>
      <c r="H28" s="12" t="s">
        <v>124</v>
      </c>
      <c r="I28" s="12" t="s">
        <v>105</v>
      </c>
      <c r="J28" s="12">
        <v>6.88</v>
      </c>
      <c r="K28" s="12">
        <v>63.19</v>
      </c>
      <c r="L28" s="12">
        <v>51.66</v>
      </c>
      <c r="M28" s="12">
        <v>3.8</v>
      </c>
      <c r="N28" s="12">
        <v>0.14000000000000001</v>
      </c>
      <c r="O28" s="12">
        <v>5</v>
      </c>
      <c r="P28" s="12">
        <v>0.14000000000000001</v>
      </c>
      <c r="Q28" s="15">
        <v>0.82</v>
      </c>
      <c r="R28" s="12">
        <v>0.11</v>
      </c>
      <c r="S28" s="12">
        <v>0</v>
      </c>
      <c r="T28" s="12">
        <v>8</v>
      </c>
      <c r="U28" s="12">
        <v>0.23</v>
      </c>
      <c r="V28" s="12">
        <v>8</v>
      </c>
      <c r="W28" s="12">
        <v>351</v>
      </c>
      <c r="X28" s="12">
        <v>9.9499999999999993</v>
      </c>
      <c r="Y28" s="12">
        <v>267</v>
      </c>
      <c r="Z28" s="12">
        <v>7.57</v>
      </c>
      <c r="AA28" s="12">
        <v>0.62</v>
      </c>
      <c r="AB28" s="15">
        <v>0.76</v>
      </c>
      <c r="AC28" s="12">
        <v>44</v>
      </c>
      <c r="AD28" s="12">
        <v>1.05</v>
      </c>
      <c r="AE28" s="12">
        <v>37</v>
      </c>
      <c r="AF28" s="12">
        <v>9</v>
      </c>
      <c r="AG28" s="12">
        <v>0.26</v>
      </c>
      <c r="AH28" s="15">
        <v>0.84</v>
      </c>
      <c r="AI28" s="12">
        <v>102</v>
      </c>
      <c r="AJ28" s="12">
        <v>2.89</v>
      </c>
      <c r="AK28" s="12">
        <v>165</v>
      </c>
      <c r="AL28" s="12">
        <v>4.68</v>
      </c>
      <c r="AM28" s="12">
        <v>68</v>
      </c>
      <c r="AN28" s="12">
        <v>1.93</v>
      </c>
      <c r="AO28" s="12">
        <v>2.21</v>
      </c>
      <c r="AP28" s="12">
        <v>20.260000000000002</v>
      </c>
      <c r="AQ28" s="27">
        <f>Data[[#This Row],[Pos Gan/90]]/Data[[#This Row],[Pos Perd/90]]</f>
        <v>9.1674208144796392</v>
      </c>
      <c r="AR28" s="12">
        <v>52</v>
      </c>
      <c r="AS28" s="12">
        <v>1.47</v>
      </c>
      <c r="AT28" s="12">
        <v>37</v>
      </c>
      <c r="AU28" s="12">
        <v>9</v>
      </c>
      <c r="AV28" s="12">
        <v>1</v>
      </c>
      <c r="AW28" s="12">
        <v>0</v>
      </c>
      <c r="AX28" s="12">
        <v>19</v>
      </c>
      <c r="AY28" s="12">
        <v>0.54</v>
      </c>
      <c r="AZ28" s="17">
        <v>0.77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235E4-F5DB-4A44-BB06-F2DB75254CD0}">
  <dimension ref="B2:N5"/>
  <sheetViews>
    <sheetView showGridLines="0" showRowColHeaders="0" tabSelected="1" zoomScale="85" zoomScaleNormal="85" workbookViewId="0">
      <selection activeCell="K8" sqref="K8"/>
    </sheetView>
  </sheetViews>
  <sheetFormatPr baseColWidth="10" defaultRowHeight="15" x14ac:dyDescent="0.25"/>
  <cols>
    <col min="1" max="1" width="3.28515625" style="29" customWidth="1"/>
    <col min="2" max="2" width="19.7109375" style="29" customWidth="1"/>
    <col min="3" max="3" width="3.7109375" style="29" customWidth="1"/>
    <col min="4" max="13" width="11.42578125" style="29"/>
    <col min="14" max="14" width="28" style="29" customWidth="1"/>
    <col min="15" max="18" width="11.42578125" style="29" customWidth="1"/>
    <col min="19" max="16384" width="11.42578125" style="29"/>
  </cols>
  <sheetData>
    <row r="2" spans="2:14" ht="7.5" customHeight="1" x14ac:dyDescent="0.25">
      <c r="D2" s="59" t="s">
        <v>328</v>
      </c>
      <c r="E2" s="60"/>
      <c r="F2" s="60"/>
      <c r="G2" s="60"/>
      <c r="H2" s="60"/>
      <c r="I2" s="60"/>
      <c r="J2" s="60"/>
      <c r="K2" s="60"/>
      <c r="L2" s="60"/>
      <c r="M2" s="60"/>
      <c r="N2" s="61"/>
    </row>
    <row r="3" spans="2:14" ht="4.5" customHeight="1" x14ac:dyDescent="0.25">
      <c r="D3" s="62"/>
      <c r="E3" s="63"/>
      <c r="F3" s="63"/>
      <c r="G3" s="63"/>
      <c r="H3" s="63"/>
      <c r="I3" s="63"/>
      <c r="J3" s="63"/>
      <c r="K3" s="63"/>
      <c r="L3" s="63"/>
      <c r="M3" s="63"/>
      <c r="N3" s="64"/>
    </row>
    <row r="4" spans="2:14" ht="61.5" x14ac:dyDescent="0.25">
      <c r="B4" s="30">
        <f>COUNTA(Data[Nombre])</f>
        <v>26</v>
      </c>
      <c r="D4" s="62"/>
      <c r="E4" s="63"/>
      <c r="F4" s="63"/>
      <c r="G4" s="63"/>
      <c r="H4" s="63"/>
      <c r="I4" s="63"/>
      <c r="J4" s="63"/>
      <c r="K4" s="63"/>
      <c r="L4" s="63"/>
      <c r="M4" s="63"/>
      <c r="N4" s="64"/>
    </row>
    <row r="5" spans="2:14" ht="4.5" customHeight="1" x14ac:dyDescent="0.25">
      <c r="D5" s="65"/>
      <c r="E5" s="66"/>
      <c r="F5" s="66"/>
      <c r="G5" s="66"/>
      <c r="H5" s="66"/>
      <c r="I5" s="66"/>
      <c r="J5" s="66"/>
      <c r="K5" s="66"/>
      <c r="L5" s="66"/>
      <c r="M5" s="66"/>
      <c r="N5" s="67"/>
    </row>
  </sheetData>
  <sheetProtection sheet="1" scenarios="1" pivotTables="0"/>
  <mergeCells count="1">
    <mergeCell ref="D2:N5"/>
  </mergeCell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AC8B0-A001-4745-BB30-9F0933A01695}">
  <dimension ref="B3:D29"/>
  <sheetViews>
    <sheetView showGridLines="0" zoomScale="85" zoomScaleNormal="85" workbookViewId="0">
      <selection activeCell="V9" sqref="V9"/>
    </sheetView>
  </sheetViews>
  <sheetFormatPr baseColWidth="10" defaultRowHeight="15" x14ac:dyDescent="0.25"/>
  <cols>
    <col min="1" max="1" width="2.5703125" style="33" customWidth="1"/>
    <col min="2" max="2" width="21.7109375" style="33" bestFit="1" customWidth="1"/>
    <col min="3" max="3" width="17.7109375" style="33" customWidth="1"/>
    <col min="4" max="4" width="19" style="33" customWidth="1"/>
    <col min="5" max="5" width="4.140625" style="33" customWidth="1"/>
    <col min="6" max="16384" width="11.42578125" style="33"/>
  </cols>
  <sheetData>
    <row r="3" spans="2:4" x14ac:dyDescent="0.25">
      <c r="C3" s="39" t="s">
        <v>321</v>
      </c>
      <c r="D3" s="40" t="s">
        <v>322</v>
      </c>
    </row>
    <row r="4" spans="2:4" x14ac:dyDescent="0.25">
      <c r="B4" s="36" t="s">
        <v>218</v>
      </c>
      <c r="C4" s="41">
        <v>4.1100000000000003</v>
      </c>
      <c r="D4" s="34">
        <v>2.23</v>
      </c>
    </row>
    <row r="5" spans="2:4" x14ac:dyDescent="0.25">
      <c r="B5" s="37" t="s">
        <v>145</v>
      </c>
      <c r="C5" s="42">
        <v>2.84</v>
      </c>
      <c r="D5" s="34">
        <v>1.76</v>
      </c>
    </row>
    <row r="6" spans="2:4" x14ac:dyDescent="0.25">
      <c r="B6" s="37" t="s">
        <v>304</v>
      </c>
      <c r="C6" s="42">
        <v>1.71</v>
      </c>
      <c r="D6" s="34">
        <v>2.78</v>
      </c>
    </row>
    <row r="7" spans="2:4" x14ac:dyDescent="0.25">
      <c r="B7" s="37" t="s">
        <v>182</v>
      </c>
      <c r="C7" s="42">
        <v>3.75</v>
      </c>
      <c r="D7" s="34">
        <v>1.58</v>
      </c>
    </row>
    <row r="8" spans="2:4" x14ac:dyDescent="0.25">
      <c r="B8" s="37" t="s">
        <v>297</v>
      </c>
      <c r="C8" s="42">
        <v>2.9</v>
      </c>
      <c r="D8" s="34">
        <v>1.76</v>
      </c>
    </row>
    <row r="9" spans="2:4" x14ac:dyDescent="0.25">
      <c r="B9" s="37" t="s">
        <v>275</v>
      </c>
      <c r="C9" s="42">
        <v>3.99</v>
      </c>
      <c r="D9" s="34">
        <v>1.61</v>
      </c>
    </row>
    <row r="10" spans="2:4" x14ac:dyDescent="0.25">
      <c r="B10" s="37" t="s">
        <v>260</v>
      </c>
      <c r="C10" s="42">
        <v>2.38</v>
      </c>
      <c r="D10" s="34">
        <v>1.67</v>
      </c>
    </row>
    <row r="11" spans="2:4" x14ac:dyDescent="0.25">
      <c r="B11" s="37" t="s">
        <v>188</v>
      </c>
      <c r="C11" s="42">
        <v>3.91</v>
      </c>
      <c r="D11" s="34">
        <v>1.4</v>
      </c>
    </row>
    <row r="12" spans="2:4" x14ac:dyDescent="0.25">
      <c r="B12" s="37" t="s">
        <v>283</v>
      </c>
      <c r="C12" s="42">
        <v>3.43</v>
      </c>
      <c r="D12" s="34">
        <v>1.52</v>
      </c>
    </row>
    <row r="13" spans="2:4" x14ac:dyDescent="0.25">
      <c r="B13" s="37" t="s">
        <v>227</v>
      </c>
      <c r="C13" s="42">
        <v>4.2</v>
      </c>
      <c r="D13" s="34">
        <v>1.57</v>
      </c>
    </row>
    <row r="14" spans="2:4" x14ac:dyDescent="0.25">
      <c r="B14" s="37" t="s">
        <v>127</v>
      </c>
      <c r="C14" s="42">
        <v>3.26</v>
      </c>
      <c r="D14" s="34">
        <v>2.31</v>
      </c>
    </row>
    <row r="15" spans="2:4" x14ac:dyDescent="0.25">
      <c r="B15" s="37" t="s">
        <v>173</v>
      </c>
      <c r="C15" s="42">
        <v>1.99</v>
      </c>
      <c r="D15" s="34">
        <v>2.4900000000000002</v>
      </c>
    </row>
    <row r="16" spans="2:4" x14ac:dyDescent="0.25">
      <c r="B16" s="37" t="s">
        <v>203</v>
      </c>
      <c r="C16" s="42">
        <v>3.52</v>
      </c>
      <c r="D16" s="34">
        <v>1.67</v>
      </c>
    </row>
    <row r="17" spans="2:4" x14ac:dyDescent="0.25">
      <c r="B17" s="37" t="s">
        <v>155</v>
      </c>
      <c r="C17" s="42">
        <v>5.0599999999999996</v>
      </c>
      <c r="D17" s="34">
        <v>1.54</v>
      </c>
    </row>
    <row r="18" spans="2:4" x14ac:dyDescent="0.25">
      <c r="B18" s="37" t="s">
        <v>106</v>
      </c>
      <c r="C18" s="42">
        <v>5.0599999999999996</v>
      </c>
      <c r="D18" s="34">
        <v>2.25</v>
      </c>
    </row>
    <row r="19" spans="2:4" x14ac:dyDescent="0.25">
      <c r="B19" s="37" t="s">
        <v>94</v>
      </c>
      <c r="C19" s="42">
        <v>2.95</v>
      </c>
      <c r="D19" s="34">
        <v>1.31</v>
      </c>
    </row>
    <row r="20" spans="2:4" x14ac:dyDescent="0.25">
      <c r="B20" s="37" t="s">
        <v>195</v>
      </c>
      <c r="C20" s="42">
        <v>2.1</v>
      </c>
      <c r="D20" s="34">
        <v>1.49</v>
      </c>
    </row>
    <row r="21" spans="2:4" x14ac:dyDescent="0.25">
      <c r="B21" s="37" t="s">
        <v>137</v>
      </c>
      <c r="C21" s="42">
        <v>3.53</v>
      </c>
      <c r="D21" s="34">
        <v>1.63</v>
      </c>
    </row>
    <row r="22" spans="2:4" x14ac:dyDescent="0.25">
      <c r="B22" s="37" t="s">
        <v>164</v>
      </c>
      <c r="C22" s="42">
        <v>3.22</v>
      </c>
      <c r="D22" s="34">
        <v>2.1</v>
      </c>
    </row>
    <row r="23" spans="2:4" x14ac:dyDescent="0.25">
      <c r="B23" s="37" t="s">
        <v>289</v>
      </c>
      <c r="C23" s="42">
        <v>3.84</v>
      </c>
      <c r="D23" s="34">
        <v>2.75</v>
      </c>
    </row>
    <row r="24" spans="2:4" x14ac:dyDescent="0.25">
      <c r="B24" s="37" t="s">
        <v>252</v>
      </c>
      <c r="C24" s="42">
        <v>4.5199999999999996</v>
      </c>
      <c r="D24" s="34">
        <v>1.1399999999999999</v>
      </c>
    </row>
    <row r="25" spans="2:4" x14ac:dyDescent="0.25">
      <c r="B25" s="37" t="s">
        <v>237</v>
      </c>
      <c r="C25" s="42">
        <v>3.02</v>
      </c>
      <c r="D25" s="34">
        <v>1.35</v>
      </c>
    </row>
    <row r="26" spans="2:4" x14ac:dyDescent="0.25">
      <c r="B26" s="37" t="s">
        <v>245</v>
      </c>
      <c r="C26" s="42">
        <v>3.53</v>
      </c>
      <c r="D26" s="34">
        <v>1.77</v>
      </c>
    </row>
    <row r="27" spans="2:4" x14ac:dyDescent="0.25">
      <c r="B27" s="37" t="s">
        <v>269</v>
      </c>
      <c r="C27" s="42">
        <v>4.5</v>
      </c>
      <c r="D27" s="34">
        <v>1.25</v>
      </c>
    </row>
    <row r="28" spans="2:4" x14ac:dyDescent="0.25">
      <c r="B28" s="37" t="s">
        <v>210</v>
      </c>
      <c r="C28" s="42">
        <v>2.44</v>
      </c>
      <c r="D28" s="34">
        <v>1.92</v>
      </c>
    </row>
    <row r="29" spans="2:4" x14ac:dyDescent="0.25">
      <c r="B29" s="38" t="s">
        <v>116</v>
      </c>
      <c r="C29" s="43">
        <v>2.89</v>
      </c>
      <c r="D29" s="35">
        <v>1.93</v>
      </c>
    </row>
  </sheetData>
  <sheetProtection algorithmName="SHA-512" hashValue="llLkjo/vVW5E8JGt/hnKRk/NGHEyXN0anckFXqSvMgbmbFk736lblbOvfecF/7JF4ooWwp3gt/0bA3FvOiUssw==" saltValue="uIki4onFRSIg5TOLBmZ3uQ==" spinCount="100000" sheet="1" objects="1" scenarios="1"/>
  <conditionalFormatting sqref="C4:C29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4:D29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95FF-AFA5-4F77-98D1-58DCF3FFD9E8}">
  <dimension ref="C3:Q29"/>
  <sheetViews>
    <sheetView showGridLines="0" zoomScale="85" zoomScaleNormal="85" workbookViewId="0">
      <selection activeCell="N30" sqref="N30"/>
    </sheetView>
  </sheetViews>
  <sheetFormatPr baseColWidth="10" defaultRowHeight="15" x14ac:dyDescent="0.25"/>
  <cols>
    <col min="1" max="1" width="2.5703125" style="33" customWidth="1"/>
    <col min="2" max="2" width="21.7109375" style="33" bestFit="1" customWidth="1"/>
    <col min="3" max="3" width="17.7109375" style="33" customWidth="1"/>
    <col min="4" max="4" width="19" style="33" customWidth="1"/>
    <col min="5" max="5" width="4.140625" style="33" customWidth="1"/>
    <col min="6" max="9" width="11.42578125" style="33"/>
    <col min="10" max="10" width="18.28515625" style="33" customWidth="1"/>
    <col min="11" max="11" width="17.140625" style="33" bestFit="1" customWidth="1"/>
    <col min="12" max="12" width="20.140625" style="33" bestFit="1" customWidth="1"/>
    <col min="13" max="13" width="11.42578125" style="33"/>
    <col min="14" max="14" width="19.85546875" style="33" customWidth="1"/>
    <col min="15" max="16384" width="11.42578125" style="33"/>
  </cols>
  <sheetData>
    <row r="3" spans="3:17" x14ac:dyDescent="0.25">
      <c r="J3" s="39" t="s">
        <v>330</v>
      </c>
      <c r="K3" s="45" t="s">
        <v>331</v>
      </c>
      <c r="L3" s="40" t="s">
        <v>332</v>
      </c>
      <c r="Q3" s="52"/>
    </row>
    <row r="4" spans="3:17" x14ac:dyDescent="0.25">
      <c r="C4" s="44"/>
      <c r="D4" s="44"/>
      <c r="J4" s="46" t="s">
        <v>218</v>
      </c>
      <c r="K4" s="49">
        <v>16</v>
      </c>
      <c r="L4" s="53">
        <v>0.25</v>
      </c>
      <c r="Q4" s="52"/>
    </row>
    <row r="5" spans="3:17" x14ac:dyDescent="0.25">
      <c r="C5" s="44"/>
      <c r="D5" s="44"/>
      <c r="J5" s="47" t="s">
        <v>145</v>
      </c>
      <c r="K5" s="50">
        <v>24</v>
      </c>
      <c r="L5" s="54">
        <v>0.25</v>
      </c>
      <c r="Q5" s="52"/>
    </row>
    <row r="6" spans="3:17" x14ac:dyDescent="0.25">
      <c r="C6" s="44"/>
      <c r="D6" s="44"/>
      <c r="J6" s="47" t="s">
        <v>304</v>
      </c>
      <c r="K6" s="50">
        <v>36</v>
      </c>
      <c r="L6" s="54">
        <v>5.5555555555555552E-2</v>
      </c>
      <c r="Q6" s="52"/>
    </row>
    <row r="7" spans="3:17" x14ac:dyDescent="0.25">
      <c r="C7" s="44"/>
      <c r="D7" s="44"/>
      <c r="J7" s="47" t="s">
        <v>182</v>
      </c>
      <c r="K7" s="50">
        <v>32</v>
      </c>
      <c r="L7" s="54">
        <v>0.34375</v>
      </c>
      <c r="Q7" s="52"/>
    </row>
    <row r="8" spans="3:17" x14ac:dyDescent="0.25">
      <c r="C8" s="44"/>
      <c r="D8" s="44"/>
      <c r="J8" s="47" t="s">
        <v>297</v>
      </c>
      <c r="K8" s="50">
        <v>31</v>
      </c>
      <c r="L8" s="54">
        <v>0.25806451612903225</v>
      </c>
      <c r="Q8" s="52"/>
    </row>
    <row r="9" spans="3:17" x14ac:dyDescent="0.25">
      <c r="C9" s="44"/>
      <c r="D9" s="44"/>
      <c r="J9" s="47" t="s">
        <v>275</v>
      </c>
      <c r="K9" s="50">
        <v>20</v>
      </c>
      <c r="L9" s="54">
        <v>0.1</v>
      </c>
      <c r="Q9" s="52"/>
    </row>
    <row r="10" spans="3:17" x14ac:dyDescent="0.25">
      <c r="C10" s="44"/>
      <c r="D10" s="44"/>
      <c r="J10" s="47" t="s">
        <v>260</v>
      </c>
      <c r="K10" s="50">
        <v>19</v>
      </c>
      <c r="L10" s="54">
        <v>0.15789473684210525</v>
      </c>
      <c r="Q10" s="52"/>
    </row>
    <row r="11" spans="3:17" x14ac:dyDescent="0.25">
      <c r="C11" s="44"/>
      <c r="D11" s="44"/>
      <c r="J11" s="47" t="s">
        <v>188</v>
      </c>
      <c r="K11" s="50">
        <v>26</v>
      </c>
      <c r="L11" s="54">
        <v>0.19230769230769232</v>
      </c>
      <c r="N11" s="39" t="s">
        <v>330</v>
      </c>
      <c r="O11" s="40" t="s">
        <v>333</v>
      </c>
      <c r="Q11" s="52"/>
    </row>
    <row r="12" spans="3:17" x14ac:dyDescent="0.25">
      <c r="C12" s="44"/>
      <c r="D12" s="44"/>
      <c r="J12" s="47" t="s">
        <v>283</v>
      </c>
      <c r="K12" s="50">
        <v>14</v>
      </c>
      <c r="L12" s="54">
        <v>0.14285714285714285</v>
      </c>
      <c r="N12" s="46" t="s">
        <v>297</v>
      </c>
      <c r="O12" s="56">
        <v>2</v>
      </c>
      <c r="Q12" s="52"/>
    </row>
    <row r="13" spans="3:17" x14ac:dyDescent="0.25">
      <c r="C13" s="44"/>
      <c r="D13" s="44"/>
      <c r="J13" s="47" t="s">
        <v>227</v>
      </c>
      <c r="K13" s="50">
        <v>13</v>
      </c>
      <c r="L13" s="54">
        <v>0.23076923076923078</v>
      </c>
      <c r="N13" s="47" t="s">
        <v>188</v>
      </c>
      <c r="O13" s="56">
        <v>1</v>
      </c>
      <c r="Q13" s="52"/>
    </row>
    <row r="14" spans="3:17" x14ac:dyDescent="0.25">
      <c r="C14" s="44"/>
      <c r="D14" s="44"/>
      <c r="J14" s="47" t="s">
        <v>127</v>
      </c>
      <c r="K14" s="50">
        <v>20</v>
      </c>
      <c r="L14" s="54">
        <v>0.15</v>
      </c>
      <c r="N14" s="47" t="s">
        <v>227</v>
      </c>
      <c r="O14" s="56">
        <v>1</v>
      </c>
      <c r="Q14" s="52"/>
    </row>
    <row r="15" spans="3:17" x14ac:dyDescent="0.25">
      <c r="C15" s="44"/>
      <c r="D15" s="44"/>
      <c r="J15" s="47" t="s">
        <v>173</v>
      </c>
      <c r="K15" s="50">
        <v>2</v>
      </c>
      <c r="L15" s="54">
        <v>0</v>
      </c>
      <c r="N15" s="47" t="s">
        <v>127</v>
      </c>
      <c r="O15" s="56">
        <v>1</v>
      </c>
      <c r="Q15" s="52"/>
    </row>
    <row r="16" spans="3:17" x14ac:dyDescent="0.25">
      <c r="C16" s="44"/>
      <c r="D16" s="44"/>
      <c r="J16" s="47" t="s">
        <v>203</v>
      </c>
      <c r="K16" s="50">
        <v>17</v>
      </c>
      <c r="L16" s="54">
        <v>0.29411764705882354</v>
      </c>
      <c r="N16" s="47" t="s">
        <v>106</v>
      </c>
      <c r="O16" s="56">
        <v>1</v>
      </c>
      <c r="Q16" s="52"/>
    </row>
    <row r="17" spans="3:17" x14ac:dyDescent="0.25">
      <c r="C17" s="44"/>
      <c r="D17" s="44"/>
      <c r="J17" s="47" t="s">
        <v>155</v>
      </c>
      <c r="K17" s="50">
        <v>6</v>
      </c>
      <c r="L17" s="54">
        <v>0.16666666666666666</v>
      </c>
      <c r="N17" s="48" t="s">
        <v>116</v>
      </c>
      <c r="O17" s="56">
        <v>1</v>
      </c>
      <c r="Q17" s="52"/>
    </row>
    <row r="18" spans="3:17" x14ac:dyDescent="0.25">
      <c r="C18" s="44"/>
      <c r="D18" s="44"/>
      <c r="J18" s="47" t="s">
        <v>106</v>
      </c>
      <c r="K18" s="50">
        <v>4</v>
      </c>
      <c r="L18" s="54">
        <v>0</v>
      </c>
      <c r="Q18" s="52"/>
    </row>
    <row r="19" spans="3:17" x14ac:dyDescent="0.25">
      <c r="C19" s="44"/>
      <c r="D19" s="44"/>
      <c r="J19" s="47" t="s">
        <v>94</v>
      </c>
      <c r="K19" s="50">
        <v>22</v>
      </c>
      <c r="L19" s="54">
        <v>0</v>
      </c>
      <c r="Q19" s="52"/>
    </row>
    <row r="20" spans="3:17" x14ac:dyDescent="0.25">
      <c r="C20" s="44"/>
      <c r="D20" s="44"/>
      <c r="J20" s="47" t="s">
        <v>195</v>
      </c>
      <c r="K20" s="50">
        <v>14</v>
      </c>
      <c r="L20" s="54">
        <v>0.21428571428571427</v>
      </c>
      <c r="Q20" s="52"/>
    </row>
    <row r="21" spans="3:17" x14ac:dyDescent="0.25">
      <c r="C21" s="44"/>
      <c r="D21" s="44"/>
      <c r="J21" s="47" t="s">
        <v>137</v>
      </c>
      <c r="K21" s="50">
        <v>1</v>
      </c>
      <c r="L21" s="54">
        <v>1</v>
      </c>
      <c r="Q21" s="52"/>
    </row>
    <row r="22" spans="3:17" x14ac:dyDescent="0.25">
      <c r="C22" s="44"/>
      <c r="D22" s="44"/>
      <c r="J22" s="47" t="s">
        <v>164</v>
      </c>
      <c r="K22" s="50">
        <v>14</v>
      </c>
      <c r="L22" s="54">
        <v>0.21428571428571427</v>
      </c>
      <c r="Q22" s="52"/>
    </row>
    <row r="23" spans="3:17" x14ac:dyDescent="0.25">
      <c r="C23" s="44"/>
      <c r="D23" s="44"/>
      <c r="J23" s="47" t="s">
        <v>289</v>
      </c>
      <c r="K23" s="50">
        <v>20</v>
      </c>
      <c r="L23" s="54">
        <v>0.25</v>
      </c>
      <c r="Q23" s="52"/>
    </row>
    <row r="24" spans="3:17" x14ac:dyDescent="0.25">
      <c r="C24" s="44"/>
      <c r="D24" s="44"/>
      <c r="J24" s="47" t="s">
        <v>252</v>
      </c>
      <c r="K24" s="50">
        <v>14</v>
      </c>
      <c r="L24" s="54">
        <v>7.1428571428571425E-2</v>
      </c>
      <c r="Q24" s="52"/>
    </row>
    <row r="25" spans="3:17" x14ac:dyDescent="0.25">
      <c r="C25" s="44"/>
      <c r="D25" s="44"/>
      <c r="J25" s="47" t="s">
        <v>237</v>
      </c>
      <c r="K25" s="50">
        <v>20</v>
      </c>
      <c r="L25" s="54">
        <v>0.25</v>
      </c>
      <c r="Q25" s="52"/>
    </row>
    <row r="26" spans="3:17" x14ac:dyDescent="0.25">
      <c r="C26" s="44"/>
      <c r="D26" s="44"/>
      <c r="J26" s="47" t="s">
        <v>245</v>
      </c>
      <c r="K26" s="50">
        <v>30</v>
      </c>
      <c r="L26" s="54">
        <v>0.1</v>
      </c>
      <c r="Q26" s="52"/>
    </row>
    <row r="27" spans="3:17" x14ac:dyDescent="0.25">
      <c r="C27" s="44"/>
      <c r="D27" s="44"/>
      <c r="J27" s="47" t="s">
        <v>269</v>
      </c>
      <c r="K27" s="50">
        <v>6</v>
      </c>
      <c r="L27" s="54">
        <v>0.16666666666666666</v>
      </c>
      <c r="Q27" s="52"/>
    </row>
    <row r="28" spans="3:17" x14ac:dyDescent="0.25">
      <c r="C28" s="44"/>
      <c r="D28" s="44"/>
      <c r="J28" s="47" t="s">
        <v>210</v>
      </c>
      <c r="K28" s="50">
        <v>17</v>
      </c>
      <c r="L28" s="54">
        <v>0.29411764705882354</v>
      </c>
    </row>
    <row r="29" spans="3:17" x14ac:dyDescent="0.25">
      <c r="C29" s="44"/>
      <c r="D29" s="44"/>
      <c r="J29" s="48" t="s">
        <v>116</v>
      </c>
      <c r="K29" s="51">
        <v>37</v>
      </c>
      <c r="L29" s="55">
        <v>0.24324324324324326</v>
      </c>
    </row>
  </sheetData>
  <sheetProtection algorithmName="SHA-512" hashValue="V3RqlseaCH8LELP95ACU74BKS2NVfk+Qw266wCWQxQPQMRzr0rGDh+jCZr7DA0D/XdbGMU5eqToXmiM2MyBg9g==" saltValue="c17PNqR6/py2NznYMAN0yg==" spinCount="100000" sheet="1" objects="1" scenarios="1"/>
  <sortState xmlns:xlrd2="http://schemas.microsoft.com/office/spreadsheetml/2017/richdata2" ref="J4:L29">
    <sortCondition ref="J4:J29"/>
  </sortState>
  <conditionalFormatting sqref="C4:C29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4:D29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K4:K29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L4:L29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8CAE4-E621-4BDF-A249-E8AA8B5F2585}">
  <dimension ref="B3:Y130"/>
  <sheetViews>
    <sheetView topLeftCell="A95" zoomScaleNormal="100" workbookViewId="0">
      <selection activeCell="B104" sqref="B104:C109"/>
    </sheetView>
  </sheetViews>
  <sheetFormatPr baseColWidth="10" defaultRowHeight="15" x14ac:dyDescent="0.25"/>
  <cols>
    <col min="1" max="2" width="20.42578125" bestFit="1" customWidth="1"/>
    <col min="3" max="3" width="14.85546875" bestFit="1" customWidth="1"/>
    <col min="4" max="4" width="8" bestFit="1" customWidth="1"/>
    <col min="5" max="5" width="15.28515625" bestFit="1" customWidth="1"/>
    <col min="6" max="6" width="17.42578125" bestFit="1" customWidth="1"/>
    <col min="7" max="7" width="16.42578125" bestFit="1" customWidth="1"/>
    <col min="8" max="8" width="11.42578125" bestFit="1" customWidth="1"/>
    <col min="9" max="10" width="12.42578125" bestFit="1" customWidth="1"/>
    <col min="11" max="11" width="23.42578125" bestFit="1" customWidth="1"/>
    <col min="12" max="12" width="20.42578125" bestFit="1" customWidth="1"/>
    <col min="13" max="13" width="14" bestFit="1" customWidth="1"/>
    <col min="14" max="14" width="19.28515625" bestFit="1" customWidth="1"/>
    <col min="15" max="15" width="21.85546875" customWidth="1"/>
    <col min="16" max="16" width="17.42578125" bestFit="1" customWidth="1"/>
    <col min="17" max="17" width="16.42578125" bestFit="1" customWidth="1"/>
    <col min="18" max="18" width="19.140625" bestFit="1" customWidth="1"/>
    <col min="19" max="19" width="19.7109375" bestFit="1" customWidth="1"/>
    <col min="20" max="20" width="12.42578125" bestFit="1" customWidth="1"/>
    <col min="21" max="21" width="20.42578125" bestFit="1" customWidth="1"/>
    <col min="22" max="22" width="18" bestFit="1" customWidth="1"/>
    <col min="23" max="24" width="18.42578125" bestFit="1" customWidth="1"/>
    <col min="25" max="25" width="14" bestFit="1" customWidth="1"/>
    <col min="26" max="26" width="12.42578125" bestFit="1" customWidth="1"/>
    <col min="27" max="27" width="11.42578125" bestFit="1" customWidth="1"/>
    <col min="28" max="28" width="12.42578125" bestFit="1" customWidth="1"/>
    <col min="29" max="29" width="12.5703125" bestFit="1" customWidth="1"/>
  </cols>
  <sheetData>
    <row r="3" spans="2:24" x14ac:dyDescent="0.25">
      <c r="B3" s="21" t="s">
        <v>312</v>
      </c>
      <c r="C3" t="s">
        <v>314</v>
      </c>
      <c r="D3" t="s">
        <v>313</v>
      </c>
      <c r="L3" s="21" t="s">
        <v>312</v>
      </c>
      <c r="M3" t="s">
        <v>316</v>
      </c>
    </row>
    <row r="4" spans="2:24" x14ac:dyDescent="0.25">
      <c r="B4" s="22" t="s">
        <v>289</v>
      </c>
      <c r="C4" s="68">
        <v>94.2</v>
      </c>
      <c r="D4" s="23">
        <v>0.93</v>
      </c>
      <c r="F4" s="24"/>
      <c r="G4" s="25"/>
      <c r="H4" s="26"/>
      <c r="L4" s="22" t="s">
        <v>252</v>
      </c>
      <c r="M4" s="68">
        <v>6.09</v>
      </c>
      <c r="U4" s="21" t="s">
        <v>312</v>
      </c>
      <c r="V4" t="s">
        <v>324</v>
      </c>
      <c r="W4" t="s">
        <v>325</v>
      </c>
      <c r="X4" t="s">
        <v>327</v>
      </c>
    </row>
    <row r="5" spans="2:24" x14ac:dyDescent="0.25">
      <c r="B5" s="22" t="s">
        <v>218</v>
      </c>
      <c r="C5" s="68">
        <v>84.09</v>
      </c>
      <c r="D5" s="23">
        <v>0.92</v>
      </c>
      <c r="F5" s="24"/>
      <c r="G5" s="25"/>
      <c r="H5" s="26"/>
      <c r="L5" s="22" t="s">
        <v>237</v>
      </c>
      <c r="M5" s="68">
        <v>6.54</v>
      </c>
      <c r="U5" s="22" t="s">
        <v>145</v>
      </c>
      <c r="V5" s="68">
        <v>18.96</v>
      </c>
      <c r="W5" s="68">
        <v>3.41</v>
      </c>
      <c r="X5" s="28">
        <v>5.5601173020527863</v>
      </c>
    </row>
    <row r="6" spans="2:24" x14ac:dyDescent="0.25">
      <c r="B6" s="22" t="s">
        <v>252</v>
      </c>
      <c r="C6" s="68">
        <v>73.5</v>
      </c>
      <c r="D6" s="23">
        <v>0.89</v>
      </c>
      <c r="F6" s="24"/>
      <c r="G6" s="25"/>
      <c r="H6" s="26"/>
      <c r="L6" s="22" t="s">
        <v>260</v>
      </c>
      <c r="M6" s="68">
        <v>6.62</v>
      </c>
      <c r="U6" s="22" t="s">
        <v>218</v>
      </c>
      <c r="V6" s="68">
        <v>21.33</v>
      </c>
      <c r="W6" s="68">
        <v>9.5500000000000007</v>
      </c>
      <c r="X6" s="28">
        <v>2.233507853403141</v>
      </c>
    </row>
    <row r="7" spans="2:24" x14ac:dyDescent="0.25">
      <c r="B7" s="22" t="s">
        <v>94</v>
      </c>
      <c r="C7" s="68">
        <v>68.33</v>
      </c>
      <c r="D7" s="23">
        <v>0.9</v>
      </c>
      <c r="F7" s="24"/>
      <c r="G7" s="25"/>
      <c r="H7" s="26"/>
      <c r="L7" s="22" t="s">
        <v>210</v>
      </c>
      <c r="M7" s="68">
        <v>6.68</v>
      </c>
      <c r="U7" s="22" t="s">
        <v>304</v>
      </c>
      <c r="V7" s="68">
        <v>18.13</v>
      </c>
      <c r="W7" s="68">
        <v>4.8899999999999997</v>
      </c>
      <c r="X7" s="28">
        <v>3.7075664621676894</v>
      </c>
    </row>
    <row r="8" spans="2:24" x14ac:dyDescent="0.25">
      <c r="B8" s="22" t="s">
        <v>297</v>
      </c>
      <c r="C8" s="68">
        <v>67.14</v>
      </c>
      <c r="D8" s="23">
        <v>0.88</v>
      </c>
      <c r="F8" s="24"/>
      <c r="G8" s="25"/>
      <c r="H8" s="26"/>
      <c r="L8" s="22" t="s">
        <v>106</v>
      </c>
      <c r="M8" s="68">
        <v>6.75</v>
      </c>
      <c r="U8" s="22" t="s">
        <v>182</v>
      </c>
      <c r="V8" s="68">
        <v>21.81</v>
      </c>
      <c r="W8" s="68">
        <v>2.5499999999999998</v>
      </c>
      <c r="X8" s="28">
        <v>8.552941176470588</v>
      </c>
    </row>
    <row r="9" spans="2:24" x14ac:dyDescent="0.25">
      <c r="B9" s="22" t="s">
        <v>173</v>
      </c>
      <c r="C9" s="68">
        <v>61.66</v>
      </c>
      <c r="D9" s="23">
        <v>0.95</v>
      </c>
      <c r="F9" s="24"/>
      <c r="G9" s="25"/>
      <c r="H9" s="26"/>
      <c r="L9" s="22" t="s">
        <v>94</v>
      </c>
      <c r="M9" s="68">
        <v>6.94</v>
      </c>
      <c r="U9" s="22" t="s">
        <v>297</v>
      </c>
      <c r="V9" s="68">
        <v>18.28</v>
      </c>
      <c r="W9" s="68">
        <v>3.24</v>
      </c>
      <c r="X9" s="28">
        <v>5.6419753086419755</v>
      </c>
    </row>
    <row r="10" spans="2:24" x14ac:dyDescent="0.25">
      <c r="B10" s="22" t="s">
        <v>195</v>
      </c>
      <c r="C10" s="68">
        <v>60.38</v>
      </c>
      <c r="D10" s="23">
        <v>0.88</v>
      </c>
      <c r="F10" s="24"/>
      <c r="G10" s="25"/>
      <c r="H10" s="26"/>
      <c r="L10" s="22" t="s">
        <v>127</v>
      </c>
      <c r="M10" s="68">
        <v>7.05</v>
      </c>
      <c r="U10" s="22" t="s">
        <v>275</v>
      </c>
      <c r="V10" s="68">
        <v>22.34</v>
      </c>
      <c r="W10" s="68">
        <v>2.08</v>
      </c>
      <c r="X10" s="28">
        <v>10.740384615384615</v>
      </c>
    </row>
    <row r="11" spans="2:24" x14ac:dyDescent="0.25">
      <c r="B11" s="22" t="s">
        <v>145</v>
      </c>
      <c r="C11" s="68">
        <v>59.65</v>
      </c>
      <c r="D11" s="23">
        <v>0.88</v>
      </c>
      <c r="F11" s="24"/>
      <c r="G11" s="25"/>
      <c r="H11" s="26"/>
      <c r="L11" s="22" t="s">
        <v>289</v>
      </c>
      <c r="M11" s="68">
        <v>7.1</v>
      </c>
      <c r="U11" s="22" t="s">
        <v>260</v>
      </c>
      <c r="V11" s="68">
        <v>18.5</v>
      </c>
      <c r="W11" s="68">
        <v>2.38</v>
      </c>
      <c r="X11" s="28">
        <v>7.7731092436974789</v>
      </c>
    </row>
    <row r="12" spans="2:24" x14ac:dyDescent="0.25">
      <c r="B12" s="22" t="s">
        <v>106</v>
      </c>
      <c r="C12" s="68">
        <v>59.62</v>
      </c>
      <c r="D12" s="23">
        <v>0.95</v>
      </c>
      <c r="F12" s="24"/>
      <c r="G12" s="25"/>
      <c r="H12" s="26"/>
      <c r="L12" s="22" t="s">
        <v>297</v>
      </c>
      <c r="M12" s="68">
        <v>7.14</v>
      </c>
      <c r="U12" s="22" t="s">
        <v>188</v>
      </c>
      <c r="V12" s="68">
        <v>18.18</v>
      </c>
      <c r="W12" s="68">
        <v>3.56</v>
      </c>
      <c r="X12" s="28">
        <v>5.106741573033708</v>
      </c>
    </row>
    <row r="13" spans="2:24" x14ac:dyDescent="0.25">
      <c r="B13" s="22" t="s">
        <v>237</v>
      </c>
      <c r="C13" s="68">
        <v>58.99</v>
      </c>
      <c r="D13" s="23">
        <v>0.89</v>
      </c>
      <c r="F13" s="24"/>
      <c r="G13" s="25"/>
      <c r="H13" s="26"/>
      <c r="L13" s="22" t="s">
        <v>275</v>
      </c>
      <c r="M13" s="68">
        <v>7.15</v>
      </c>
      <c r="U13" s="22" t="s">
        <v>283</v>
      </c>
      <c r="V13" s="68">
        <v>19.739999999999998</v>
      </c>
      <c r="W13" s="68">
        <v>2.38</v>
      </c>
      <c r="X13" s="28">
        <v>8.2941176470588225</v>
      </c>
    </row>
    <row r="14" spans="2:24" x14ac:dyDescent="0.25">
      <c r="B14" s="22" t="s">
        <v>203</v>
      </c>
      <c r="C14" s="68">
        <v>58.98</v>
      </c>
      <c r="D14" s="23">
        <v>0.91</v>
      </c>
      <c r="F14" s="24"/>
      <c r="G14" s="25"/>
      <c r="H14" s="26"/>
      <c r="L14" s="22" t="s">
        <v>195</v>
      </c>
      <c r="M14" s="68">
        <v>7.38</v>
      </c>
      <c r="U14" s="22" t="s">
        <v>227</v>
      </c>
      <c r="V14" s="68">
        <v>19.649999999999999</v>
      </c>
      <c r="W14" s="68">
        <v>6.91</v>
      </c>
      <c r="X14" s="28">
        <v>2.8437047756874092</v>
      </c>
    </row>
    <row r="15" spans="2:24" x14ac:dyDescent="0.25">
      <c r="B15" s="22" t="s">
        <v>210</v>
      </c>
      <c r="C15" s="68">
        <v>57.43</v>
      </c>
      <c r="D15" s="23">
        <v>0.9</v>
      </c>
      <c r="F15" s="24"/>
      <c r="G15" s="25"/>
      <c r="H15" s="26"/>
      <c r="L15" s="22" t="s">
        <v>304</v>
      </c>
      <c r="M15" s="68">
        <v>7.41</v>
      </c>
      <c r="U15" s="22" t="s">
        <v>127</v>
      </c>
      <c r="V15" s="68">
        <v>20.45</v>
      </c>
      <c r="W15" s="68">
        <v>10.62</v>
      </c>
      <c r="X15" s="28">
        <v>1.9256120527306968</v>
      </c>
    </row>
    <row r="16" spans="2:24" x14ac:dyDescent="0.25">
      <c r="B16" s="22" t="s">
        <v>275</v>
      </c>
      <c r="C16" s="68">
        <v>54.08</v>
      </c>
      <c r="D16" s="23">
        <v>0.83</v>
      </c>
      <c r="F16" s="24"/>
      <c r="G16" s="25"/>
      <c r="H16" s="26"/>
      <c r="L16" s="22" t="s">
        <v>145</v>
      </c>
      <c r="M16" s="68">
        <v>7.44</v>
      </c>
      <c r="U16" s="22" t="s">
        <v>173</v>
      </c>
      <c r="V16" s="68">
        <v>18.899999999999999</v>
      </c>
      <c r="W16" s="68">
        <v>2.98</v>
      </c>
      <c r="X16" s="28">
        <v>6.3422818791946307</v>
      </c>
    </row>
    <row r="17" spans="2:24" x14ac:dyDescent="0.25">
      <c r="B17" s="22" t="s">
        <v>188</v>
      </c>
      <c r="C17" s="68">
        <v>52.49</v>
      </c>
      <c r="D17" s="23">
        <v>0.78</v>
      </c>
      <c r="F17" s="24"/>
      <c r="G17" s="25"/>
      <c r="H17" s="26"/>
      <c r="L17" s="22" t="s">
        <v>116</v>
      </c>
      <c r="M17" s="68">
        <v>7.57</v>
      </c>
      <c r="U17" s="22" t="s">
        <v>203</v>
      </c>
      <c r="V17" s="68">
        <v>20.72</v>
      </c>
      <c r="W17" s="68">
        <v>6.93</v>
      </c>
      <c r="X17" s="28">
        <v>2.9898989898989901</v>
      </c>
    </row>
    <row r="18" spans="2:24" x14ac:dyDescent="0.25">
      <c r="B18" s="22" t="s">
        <v>283</v>
      </c>
      <c r="C18" s="68">
        <v>52.1</v>
      </c>
      <c r="D18" s="23">
        <v>0.8</v>
      </c>
      <c r="F18" s="24"/>
      <c r="G18" s="25"/>
      <c r="H18" s="26"/>
      <c r="L18" s="22" t="s">
        <v>173</v>
      </c>
      <c r="M18" s="68">
        <v>7.96</v>
      </c>
      <c r="U18" s="22" t="s">
        <v>155</v>
      </c>
      <c r="V18" s="68">
        <v>33.67</v>
      </c>
      <c r="W18" s="68">
        <v>22.44</v>
      </c>
      <c r="X18" s="28">
        <v>1.500445632798574</v>
      </c>
    </row>
    <row r="19" spans="2:24" x14ac:dyDescent="0.25">
      <c r="B19" s="22" t="s">
        <v>116</v>
      </c>
      <c r="C19" s="68">
        <v>51.66</v>
      </c>
      <c r="D19" s="23">
        <v>0.82</v>
      </c>
      <c r="F19" s="24"/>
      <c r="G19" s="25"/>
      <c r="H19" s="26"/>
      <c r="L19" s="22" t="s">
        <v>218</v>
      </c>
      <c r="M19" s="68">
        <v>8.44</v>
      </c>
      <c r="U19" s="22" t="s">
        <v>106</v>
      </c>
      <c r="V19" s="68">
        <v>18</v>
      </c>
      <c r="W19" s="68">
        <v>3.38</v>
      </c>
      <c r="X19" s="28">
        <v>5.3254437869822491</v>
      </c>
    </row>
    <row r="20" spans="2:24" x14ac:dyDescent="0.25">
      <c r="B20" s="22" t="s">
        <v>137</v>
      </c>
      <c r="C20" s="68">
        <v>51.12</v>
      </c>
      <c r="D20" s="23">
        <v>0.82</v>
      </c>
      <c r="H20" s="26"/>
      <c r="L20" s="22" t="s">
        <v>137</v>
      </c>
      <c r="M20" s="68">
        <v>8.9700000000000006</v>
      </c>
      <c r="U20" s="22" t="s">
        <v>94</v>
      </c>
      <c r="V20" s="68">
        <v>19.34</v>
      </c>
      <c r="W20" s="68">
        <v>3.14</v>
      </c>
      <c r="X20" s="28">
        <v>6.1592356687898082</v>
      </c>
    </row>
    <row r="21" spans="2:24" x14ac:dyDescent="0.25">
      <c r="B21" s="22" t="s">
        <v>182</v>
      </c>
      <c r="C21" s="68">
        <v>51.04</v>
      </c>
      <c r="D21" s="23">
        <v>0.79</v>
      </c>
      <c r="H21" s="26"/>
      <c r="L21" s="22" t="s">
        <v>203</v>
      </c>
      <c r="M21" s="68">
        <v>9.02</v>
      </c>
      <c r="U21" s="22" t="s">
        <v>195</v>
      </c>
      <c r="V21" s="68">
        <v>19.48</v>
      </c>
      <c r="W21" s="68">
        <v>3.23</v>
      </c>
      <c r="X21" s="28">
        <v>6.0309597523219818</v>
      </c>
    </row>
    <row r="22" spans="2:24" x14ac:dyDescent="0.25">
      <c r="B22" s="22" t="s">
        <v>269</v>
      </c>
      <c r="C22" s="68">
        <v>47.38</v>
      </c>
      <c r="D22" s="23">
        <v>0.73</v>
      </c>
      <c r="H22" s="26"/>
      <c r="L22" s="22" t="s">
        <v>182</v>
      </c>
      <c r="M22" s="68">
        <v>9.35</v>
      </c>
      <c r="U22" s="22" t="s">
        <v>137</v>
      </c>
      <c r="V22" s="68">
        <v>23.93</v>
      </c>
      <c r="W22" s="68">
        <v>3.26</v>
      </c>
      <c r="X22" s="28">
        <v>7.3404907975460123</v>
      </c>
    </row>
    <row r="23" spans="2:24" x14ac:dyDescent="0.25">
      <c r="B23" s="22" t="s">
        <v>127</v>
      </c>
      <c r="C23" s="68">
        <v>44</v>
      </c>
      <c r="D23" s="23">
        <v>0.85</v>
      </c>
      <c r="H23" s="26"/>
      <c r="L23" s="22" t="s">
        <v>227</v>
      </c>
      <c r="M23" s="68">
        <v>11.18</v>
      </c>
      <c r="U23" s="22" t="s">
        <v>164</v>
      </c>
      <c r="V23" s="68">
        <v>18.7</v>
      </c>
      <c r="W23" s="68">
        <v>2.31</v>
      </c>
      <c r="X23" s="28">
        <v>8.0952380952380949</v>
      </c>
    </row>
    <row r="24" spans="2:24" x14ac:dyDescent="0.25">
      <c r="B24" s="22" t="s">
        <v>164</v>
      </c>
      <c r="C24" s="68">
        <v>42.72</v>
      </c>
      <c r="D24" s="23">
        <v>0.66</v>
      </c>
      <c r="H24" s="26"/>
      <c r="L24" s="22" t="s">
        <v>283</v>
      </c>
      <c r="M24" s="68">
        <v>11.56</v>
      </c>
      <c r="U24" s="22" t="s">
        <v>289</v>
      </c>
      <c r="V24" s="68">
        <v>19.440000000000001</v>
      </c>
      <c r="W24" s="68">
        <v>9.85</v>
      </c>
      <c r="X24" s="28">
        <v>1.9736040609137058</v>
      </c>
    </row>
    <row r="25" spans="2:24" x14ac:dyDescent="0.25">
      <c r="B25" s="22" t="s">
        <v>245</v>
      </c>
      <c r="C25" s="68">
        <v>42.32</v>
      </c>
      <c r="D25" s="23">
        <v>0.67</v>
      </c>
      <c r="H25" s="26"/>
      <c r="L25" s="22" t="s">
        <v>188</v>
      </c>
      <c r="M25" s="68">
        <v>11.66</v>
      </c>
      <c r="U25" s="22" t="s">
        <v>252</v>
      </c>
      <c r="V25" s="68">
        <v>20.78</v>
      </c>
      <c r="W25" s="68">
        <v>4.5599999999999996</v>
      </c>
      <c r="X25" s="28">
        <v>4.5570175438596499</v>
      </c>
    </row>
    <row r="26" spans="2:24" x14ac:dyDescent="0.25">
      <c r="B26" s="22" t="s">
        <v>304</v>
      </c>
      <c r="C26" s="68">
        <v>42.01</v>
      </c>
      <c r="D26" s="23">
        <v>0.8</v>
      </c>
      <c r="H26" s="26"/>
      <c r="L26" s="22" t="s">
        <v>164</v>
      </c>
      <c r="M26" s="68">
        <v>11.7</v>
      </c>
      <c r="U26" s="22" t="s">
        <v>237</v>
      </c>
      <c r="V26" s="68">
        <v>18.29</v>
      </c>
      <c r="W26" s="68">
        <v>2.5099999999999998</v>
      </c>
      <c r="X26" s="28">
        <v>7.2868525896414349</v>
      </c>
    </row>
    <row r="27" spans="2:24" x14ac:dyDescent="0.25">
      <c r="B27" s="22" t="s">
        <v>260</v>
      </c>
      <c r="C27" s="68">
        <v>41.17</v>
      </c>
      <c r="D27" s="23">
        <v>0.78</v>
      </c>
      <c r="H27" s="26"/>
      <c r="L27" s="22" t="s">
        <v>245</v>
      </c>
      <c r="M27" s="68">
        <v>12.28</v>
      </c>
      <c r="U27" s="22" t="s">
        <v>245</v>
      </c>
      <c r="V27" s="68">
        <v>19.100000000000001</v>
      </c>
      <c r="W27" s="68">
        <v>2.89</v>
      </c>
      <c r="X27" s="28">
        <v>6.608996539792388</v>
      </c>
    </row>
    <row r="28" spans="2:24" x14ac:dyDescent="0.25">
      <c r="B28" s="22" t="s">
        <v>227</v>
      </c>
      <c r="C28" s="68">
        <v>40.159999999999997</v>
      </c>
      <c r="D28" s="23">
        <v>0.66</v>
      </c>
      <c r="H28" s="26"/>
      <c r="L28" s="22" t="s">
        <v>155</v>
      </c>
      <c r="M28" s="68">
        <v>12.54</v>
      </c>
      <c r="U28" s="22" t="s">
        <v>269</v>
      </c>
      <c r="V28" s="68">
        <v>18.75</v>
      </c>
      <c r="W28" s="68">
        <v>3.25</v>
      </c>
      <c r="X28" s="28">
        <v>5.7692307692307692</v>
      </c>
    </row>
    <row r="29" spans="2:24" x14ac:dyDescent="0.25">
      <c r="B29" s="22" t="s">
        <v>155</v>
      </c>
      <c r="C29" s="68">
        <v>38.950000000000003</v>
      </c>
      <c r="D29" s="23">
        <v>0.64</v>
      </c>
      <c r="H29" s="26"/>
      <c r="L29" s="22" t="s">
        <v>269</v>
      </c>
      <c r="M29" s="68">
        <v>13.88</v>
      </c>
      <c r="U29" s="22" t="s">
        <v>210</v>
      </c>
      <c r="V29" s="68">
        <v>18.64</v>
      </c>
      <c r="W29" s="68">
        <v>3.19</v>
      </c>
      <c r="X29" s="28">
        <v>5.8432601880877746</v>
      </c>
    </row>
    <row r="30" spans="2:24" x14ac:dyDescent="0.25">
      <c r="U30" s="22" t="s">
        <v>116</v>
      </c>
      <c r="V30" s="68">
        <v>20.260000000000002</v>
      </c>
      <c r="W30" s="68">
        <v>2.21</v>
      </c>
      <c r="X30" s="28">
        <v>9.1674208144796392</v>
      </c>
    </row>
    <row r="34" spans="2:25" x14ac:dyDescent="0.25">
      <c r="L34" s="21" t="s">
        <v>312</v>
      </c>
      <c r="M34" s="23" t="s">
        <v>318</v>
      </c>
    </row>
    <row r="35" spans="2:25" x14ac:dyDescent="0.25">
      <c r="L35" s="22" t="s">
        <v>227</v>
      </c>
      <c r="M35" s="23">
        <v>0.75</v>
      </c>
    </row>
    <row r="36" spans="2:25" x14ac:dyDescent="0.25">
      <c r="L36" s="22" t="s">
        <v>106</v>
      </c>
      <c r="M36" s="23">
        <v>0.75</v>
      </c>
    </row>
    <row r="37" spans="2:25" x14ac:dyDescent="0.25">
      <c r="L37" s="22" t="s">
        <v>116</v>
      </c>
      <c r="M37" s="23">
        <v>0.76</v>
      </c>
    </row>
    <row r="38" spans="2:25" x14ac:dyDescent="0.25">
      <c r="L38" s="22" t="s">
        <v>173</v>
      </c>
      <c r="M38" s="23">
        <v>0.76</v>
      </c>
    </row>
    <row r="39" spans="2:25" x14ac:dyDescent="0.25">
      <c r="L39" s="22" t="s">
        <v>304</v>
      </c>
      <c r="M39" s="23">
        <v>0.76</v>
      </c>
    </row>
    <row r="40" spans="2:25" x14ac:dyDescent="0.25">
      <c r="B40" s="21" t="s">
        <v>312</v>
      </c>
      <c r="C40" t="s">
        <v>319</v>
      </c>
      <c r="D40" t="s">
        <v>320</v>
      </c>
      <c r="E40" t="s">
        <v>321</v>
      </c>
      <c r="F40" t="s">
        <v>322</v>
      </c>
      <c r="G40" t="s">
        <v>323</v>
      </c>
      <c r="L40" s="22" t="s">
        <v>260</v>
      </c>
      <c r="M40" s="23">
        <v>0.77</v>
      </c>
      <c r="U40" s="21" t="s">
        <v>312</v>
      </c>
      <c r="V40" t="s">
        <v>315</v>
      </c>
      <c r="W40" t="s">
        <v>316</v>
      </c>
      <c r="X40" t="s">
        <v>317</v>
      </c>
      <c r="Y40" t="s">
        <v>318</v>
      </c>
    </row>
    <row r="41" spans="2:25" x14ac:dyDescent="0.25">
      <c r="B41" s="22" t="s">
        <v>145</v>
      </c>
      <c r="C41" s="68">
        <v>0.27</v>
      </c>
      <c r="D41" s="68">
        <v>1.18</v>
      </c>
      <c r="E41" s="68">
        <v>2.84</v>
      </c>
      <c r="F41" s="68">
        <v>1.76</v>
      </c>
      <c r="G41" s="68">
        <v>0.91</v>
      </c>
      <c r="L41" s="22" t="s">
        <v>210</v>
      </c>
      <c r="M41" s="23">
        <v>0.77</v>
      </c>
      <c r="U41" s="22" t="s">
        <v>145</v>
      </c>
      <c r="V41" s="68">
        <v>9.5</v>
      </c>
      <c r="W41" s="68">
        <v>7.44</v>
      </c>
      <c r="X41" s="68">
        <v>0.56999999999999995</v>
      </c>
      <c r="Y41" s="68">
        <v>0.78</v>
      </c>
    </row>
    <row r="42" spans="2:25" x14ac:dyDescent="0.25">
      <c r="B42" s="22" t="s">
        <v>218</v>
      </c>
      <c r="C42" s="68">
        <v>0.3</v>
      </c>
      <c r="D42" s="68">
        <v>1.1599999999999999</v>
      </c>
      <c r="E42" s="68">
        <v>4.1100000000000003</v>
      </c>
      <c r="F42" s="68">
        <v>2.23</v>
      </c>
      <c r="G42" s="68">
        <v>1.1599999999999999</v>
      </c>
      <c r="L42" s="22" t="s">
        <v>297</v>
      </c>
      <c r="M42" s="23">
        <v>0.77</v>
      </c>
      <c r="U42" s="22" t="s">
        <v>218</v>
      </c>
      <c r="V42" s="68">
        <v>10.11</v>
      </c>
      <c r="W42" s="68">
        <v>8.44</v>
      </c>
      <c r="X42" s="68">
        <v>0.56000000000000005</v>
      </c>
      <c r="Y42" s="68">
        <v>0.83</v>
      </c>
    </row>
    <row r="43" spans="2:25" x14ac:dyDescent="0.25">
      <c r="B43" s="22" t="s">
        <v>304</v>
      </c>
      <c r="C43" s="68">
        <v>0</v>
      </c>
      <c r="D43" s="68">
        <v>1.35</v>
      </c>
      <c r="E43" s="68">
        <v>1.71</v>
      </c>
      <c r="F43" s="68">
        <v>2.78</v>
      </c>
      <c r="G43" s="68">
        <v>1.3</v>
      </c>
      <c r="L43" s="22" t="s">
        <v>237</v>
      </c>
      <c r="M43" s="23">
        <v>0.77</v>
      </c>
      <c r="U43" s="22" t="s">
        <v>304</v>
      </c>
      <c r="V43" s="68">
        <v>9.74</v>
      </c>
      <c r="W43" s="68">
        <v>7.41</v>
      </c>
      <c r="X43" s="68">
        <v>0.4</v>
      </c>
      <c r="Y43" s="68">
        <v>0.76</v>
      </c>
    </row>
    <row r="44" spans="2:25" x14ac:dyDescent="0.25">
      <c r="B44" s="22" t="s">
        <v>182</v>
      </c>
      <c r="C44" s="68">
        <v>0.25</v>
      </c>
      <c r="D44" s="68">
        <v>0.86</v>
      </c>
      <c r="E44" s="68">
        <v>3.75</v>
      </c>
      <c r="F44" s="68">
        <v>1.58</v>
      </c>
      <c r="G44" s="68">
        <v>1.8</v>
      </c>
      <c r="L44" s="22" t="s">
        <v>252</v>
      </c>
      <c r="M44" s="23">
        <v>0.77</v>
      </c>
      <c r="U44" s="22" t="s">
        <v>182</v>
      </c>
      <c r="V44" s="68">
        <v>11.3</v>
      </c>
      <c r="W44" s="68">
        <v>9.35</v>
      </c>
      <c r="X44" s="68">
        <v>0.67</v>
      </c>
      <c r="Y44" s="68">
        <v>0.83</v>
      </c>
    </row>
    <row r="45" spans="2:25" x14ac:dyDescent="0.25">
      <c r="B45" s="22" t="s">
        <v>297</v>
      </c>
      <c r="C45" s="68">
        <v>0.38</v>
      </c>
      <c r="D45" s="68">
        <v>1.56</v>
      </c>
      <c r="E45" s="68">
        <v>2.9</v>
      </c>
      <c r="F45" s="68">
        <v>1.76</v>
      </c>
      <c r="G45" s="68">
        <v>1.26</v>
      </c>
      <c r="L45" s="22" t="s">
        <v>94</v>
      </c>
      <c r="M45" s="23">
        <v>0.78</v>
      </c>
      <c r="U45" s="22" t="s">
        <v>297</v>
      </c>
      <c r="V45" s="68">
        <v>9.24</v>
      </c>
      <c r="W45" s="68">
        <v>7.14</v>
      </c>
      <c r="X45" s="68">
        <v>0.92</v>
      </c>
      <c r="Y45" s="68">
        <v>0.77</v>
      </c>
    </row>
    <row r="46" spans="2:25" x14ac:dyDescent="0.25">
      <c r="B46" s="22" t="s">
        <v>275</v>
      </c>
      <c r="C46" s="68">
        <v>0.18</v>
      </c>
      <c r="D46" s="68">
        <v>1.01</v>
      </c>
      <c r="E46" s="68">
        <v>3.99</v>
      </c>
      <c r="F46" s="68">
        <v>1.61</v>
      </c>
      <c r="G46" s="68">
        <v>1.37</v>
      </c>
      <c r="L46" s="22" t="s">
        <v>188</v>
      </c>
      <c r="M46" s="23">
        <v>0.78</v>
      </c>
      <c r="U46" s="22" t="s">
        <v>275</v>
      </c>
      <c r="V46" s="68">
        <v>8.99</v>
      </c>
      <c r="W46" s="68">
        <v>7.15</v>
      </c>
      <c r="X46" s="68">
        <v>0.66</v>
      </c>
      <c r="Y46" s="68">
        <v>0.79</v>
      </c>
    </row>
    <row r="47" spans="2:25" x14ac:dyDescent="0.25">
      <c r="B47" s="22" t="s">
        <v>260</v>
      </c>
      <c r="C47" s="68">
        <v>0.33</v>
      </c>
      <c r="D47" s="68">
        <v>1.38</v>
      </c>
      <c r="E47" s="68">
        <v>2.38</v>
      </c>
      <c r="F47" s="68">
        <v>1.67</v>
      </c>
      <c r="G47" s="68">
        <v>1.54</v>
      </c>
      <c r="L47" s="22" t="s">
        <v>195</v>
      </c>
      <c r="M47" s="23">
        <v>0.78</v>
      </c>
      <c r="U47" s="22" t="s">
        <v>260</v>
      </c>
      <c r="V47" s="68">
        <v>8.58</v>
      </c>
      <c r="W47" s="68">
        <v>6.62</v>
      </c>
      <c r="X47" s="68">
        <v>0.67</v>
      </c>
      <c r="Y47" s="68">
        <v>0.77</v>
      </c>
    </row>
    <row r="48" spans="2:25" x14ac:dyDescent="0.25">
      <c r="B48" s="22" t="s">
        <v>188</v>
      </c>
      <c r="C48" s="68">
        <v>0.14000000000000001</v>
      </c>
      <c r="D48" s="68">
        <v>0.56000000000000005</v>
      </c>
      <c r="E48" s="68">
        <v>3.91</v>
      </c>
      <c r="F48" s="68">
        <v>1.4</v>
      </c>
      <c r="G48" s="68">
        <v>1.85</v>
      </c>
      <c r="L48" s="22" t="s">
        <v>145</v>
      </c>
      <c r="M48" s="23">
        <v>0.78</v>
      </c>
      <c r="U48" s="22" t="s">
        <v>188</v>
      </c>
      <c r="V48" s="68">
        <v>14.9</v>
      </c>
      <c r="W48" s="68">
        <v>11.66</v>
      </c>
      <c r="X48" s="68">
        <v>0.28000000000000003</v>
      </c>
      <c r="Y48" s="68">
        <v>0.78</v>
      </c>
    </row>
    <row r="49" spans="2:25" x14ac:dyDescent="0.25">
      <c r="B49" s="22" t="s">
        <v>283</v>
      </c>
      <c r="C49" s="68">
        <v>0.13</v>
      </c>
      <c r="D49" s="68">
        <v>0.79</v>
      </c>
      <c r="E49" s="68">
        <v>3.43</v>
      </c>
      <c r="F49" s="68">
        <v>1.52</v>
      </c>
      <c r="G49" s="68">
        <v>1.85</v>
      </c>
      <c r="L49" s="22" t="s">
        <v>275</v>
      </c>
      <c r="M49" s="23">
        <v>0.79</v>
      </c>
      <c r="U49" s="22" t="s">
        <v>283</v>
      </c>
      <c r="V49" s="68">
        <v>14.06</v>
      </c>
      <c r="W49" s="68">
        <v>11.56</v>
      </c>
      <c r="X49" s="68">
        <v>1.06</v>
      </c>
      <c r="Y49" s="68">
        <v>0.82</v>
      </c>
    </row>
    <row r="50" spans="2:25" x14ac:dyDescent="0.25">
      <c r="B50" s="22" t="s">
        <v>227</v>
      </c>
      <c r="C50" s="68">
        <v>0.14000000000000001</v>
      </c>
      <c r="D50" s="68">
        <v>0.85</v>
      </c>
      <c r="E50" s="68">
        <v>4.2</v>
      </c>
      <c r="F50" s="68">
        <v>1.57</v>
      </c>
      <c r="G50" s="68">
        <v>1.99</v>
      </c>
      <c r="L50" s="22" t="s">
        <v>203</v>
      </c>
      <c r="M50" s="23">
        <v>0.81</v>
      </c>
      <c r="U50" s="22" t="s">
        <v>227</v>
      </c>
      <c r="V50" s="68">
        <v>14.88</v>
      </c>
      <c r="W50" s="68">
        <v>11.18</v>
      </c>
      <c r="X50" s="68">
        <v>1.21</v>
      </c>
      <c r="Y50" s="68">
        <v>0.75</v>
      </c>
    </row>
    <row r="51" spans="2:25" x14ac:dyDescent="0.25">
      <c r="B51" s="22" t="s">
        <v>127</v>
      </c>
      <c r="C51" s="68">
        <v>0.39</v>
      </c>
      <c r="D51" s="68">
        <v>1.39</v>
      </c>
      <c r="E51" s="68">
        <v>3.26</v>
      </c>
      <c r="F51" s="68">
        <v>2.31</v>
      </c>
      <c r="G51" s="68">
        <v>1.65</v>
      </c>
      <c r="L51" s="22" t="s">
        <v>127</v>
      </c>
      <c r="M51" s="23">
        <v>0.81</v>
      </c>
      <c r="U51" s="22" t="s">
        <v>127</v>
      </c>
      <c r="V51" s="68">
        <v>8.75</v>
      </c>
      <c r="W51" s="68">
        <v>7.05</v>
      </c>
      <c r="X51" s="68">
        <v>0.91</v>
      </c>
      <c r="Y51" s="68">
        <v>0.81</v>
      </c>
    </row>
    <row r="52" spans="2:25" x14ac:dyDescent="0.25">
      <c r="B52" s="22" t="s">
        <v>173</v>
      </c>
      <c r="C52" s="68">
        <v>0</v>
      </c>
      <c r="D52" s="68">
        <v>1.49</v>
      </c>
      <c r="E52" s="68">
        <v>1.99</v>
      </c>
      <c r="F52" s="68">
        <v>2.4900000000000002</v>
      </c>
      <c r="G52" s="68">
        <v>0.99</v>
      </c>
      <c r="L52" s="22" t="s">
        <v>164</v>
      </c>
      <c r="M52" s="23">
        <v>0.82</v>
      </c>
      <c r="U52" s="22" t="s">
        <v>173</v>
      </c>
      <c r="V52" s="68">
        <v>10.44</v>
      </c>
      <c r="W52" s="68">
        <v>7.96</v>
      </c>
      <c r="X52" s="68">
        <v>0.99</v>
      </c>
      <c r="Y52" s="68">
        <v>0.76</v>
      </c>
    </row>
    <row r="53" spans="2:25" x14ac:dyDescent="0.25">
      <c r="B53" s="22" t="s">
        <v>203</v>
      </c>
      <c r="C53" s="68">
        <v>0.42</v>
      </c>
      <c r="D53" s="68">
        <v>1.1399999999999999</v>
      </c>
      <c r="E53" s="68">
        <v>3.52</v>
      </c>
      <c r="F53" s="68">
        <v>1.67</v>
      </c>
      <c r="G53" s="68">
        <v>0.87</v>
      </c>
      <c r="L53" s="22" t="s">
        <v>283</v>
      </c>
      <c r="M53" s="23">
        <v>0.82</v>
      </c>
      <c r="U53" s="22" t="s">
        <v>203</v>
      </c>
      <c r="V53" s="68">
        <v>11.17</v>
      </c>
      <c r="W53" s="68">
        <v>9.02</v>
      </c>
      <c r="X53" s="68">
        <v>0.76</v>
      </c>
      <c r="Y53" s="68">
        <v>0.81</v>
      </c>
    </row>
    <row r="54" spans="2:25" x14ac:dyDescent="0.25">
      <c r="B54" s="22" t="s">
        <v>155</v>
      </c>
      <c r="C54" s="68">
        <v>0</v>
      </c>
      <c r="D54" s="68">
        <v>0.44</v>
      </c>
      <c r="E54" s="68">
        <v>5.0599999999999996</v>
      </c>
      <c r="F54" s="68">
        <v>1.54</v>
      </c>
      <c r="G54" s="68">
        <v>1.54</v>
      </c>
      <c r="L54" s="22" t="s">
        <v>218</v>
      </c>
      <c r="M54" s="23">
        <v>0.83</v>
      </c>
      <c r="U54" s="22" t="s">
        <v>155</v>
      </c>
      <c r="V54" s="68">
        <v>14.3</v>
      </c>
      <c r="W54" s="68">
        <v>12.54</v>
      </c>
      <c r="X54" s="68">
        <v>0.22</v>
      </c>
      <c r="Y54" s="68">
        <v>0.88</v>
      </c>
    </row>
    <row r="55" spans="2:25" x14ac:dyDescent="0.25">
      <c r="B55" s="22" t="s">
        <v>106</v>
      </c>
      <c r="C55" s="68">
        <v>0</v>
      </c>
      <c r="D55" s="68">
        <v>0.56000000000000005</v>
      </c>
      <c r="E55" s="68">
        <v>5.0599999999999996</v>
      </c>
      <c r="F55" s="68">
        <v>2.25</v>
      </c>
      <c r="G55" s="68">
        <v>1.69</v>
      </c>
      <c r="L55" s="22" t="s">
        <v>245</v>
      </c>
      <c r="M55" s="23">
        <v>0.83</v>
      </c>
      <c r="U55" s="22" t="s">
        <v>106</v>
      </c>
      <c r="V55" s="68">
        <v>9</v>
      </c>
      <c r="W55" s="68">
        <v>6.75</v>
      </c>
      <c r="X55" s="68">
        <v>0</v>
      </c>
      <c r="Y55" s="68">
        <v>0.75</v>
      </c>
    </row>
    <row r="56" spans="2:25" x14ac:dyDescent="0.25">
      <c r="B56" s="22" t="s">
        <v>94</v>
      </c>
      <c r="C56" s="68">
        <v>0.2</v>
      </c>
      <c r="D56" s="68">
        <v>0.92</v>
      </c>
      <c r="E56" s="68">
        <v>2.95</v>
      </c>
      <c r="F56" s="68">
        <v>1.31</v>
      </c>
      <c r="G56" s="68">
        <v>0.82</v>
      </c>
      <c r="L56" s="22" t="s">
        <v>269</v>
      </c>
      <c r="M56" s="23">
        <v>0.83</v>
      </c>
      <c r="U56" s="22" t="s">
        <v>94</v>
      </c>
      <c r="V56" s="68">
        <v>8.9</v>
      </c>
      <c r="W56" s="68">
        <v>6.94</v>
      </c>
      <c r="X56" s="68">
        <v>0.82</v>
      </c>
      <c r="Y56" s="68">
        <v>0.78</v>
      </c>
    </row>
    <row r="57" spans="2:25" x14ac:dyDescent="0.25">
      <c r="B57" s="22" t="s">
        <v>195</v>
      </c>
      <c r="C57" s="68">
        <v>0.1</v>
      </c>
      <c r="D57" s="68">
        <v>1.18</v>
      </c>
      <c r="E57" s="68">
        <v>2.1</v>
      </c>
      <c r="F57" s="68">
        <v>1.49</v>
      </c>
      <c r="G57" s="68">
        <v>1.08</v>
      </c>
      <c r="L57" s="22" t="s">
        <v>182</v>
      </c>
      <c r="M57" s="23">
        <v>0.83</v>
      </c>
      <c r="U57" s="22" t="s">
        <v>195</v>
      </c>
      <c r="V57" s="68">
        <v>9.48</v>
      </c>
      <c r="W57" s="68">
        <v>7.38</v>
      </c>
      <c r="X57" s="68">
        <v>0.92</v>
      </c>
      <c r="Y57" s="68">
        <v>0.78</v>
      </c>
    </row>
    <row r="58" spans="2:25" x14ac:dyDescent="0.25">
      <c r="B58" s="22" t="s">
        <v>137</v>
      </c>
      <c r="C58" s="68">
        <v>0.27</v>
      </c>
      <c r="D58" s="68">
        <v>1.0900000000000001</v>
      </c>
      <c r="E58" s="68">
        <v>3.53</v>
      </c>
      <c r="F58" s="68">
        <v>1.63</v>
      </c>
      <c r="G58" s="68">
        <v>1.36</v>
      </c>
      <c r="L58" s="22" t="s">
        <v>289</v>
      </c>
      <c r="M58" s="23">
        <v>0.83</v>
      </c>
      <c r="U58" s="22" t="s">
        <v>137</v>
      </c>
      <c r="V58" s="68">
        <v>10.33</v>
      </c>
      <c r="W58" s="68">
        <v>8.9700000000000006</v>
      </c>
      <c r="X58" s="68">
        <v>0.27</v>
      </c>
      <c r="Y58" s="68">
        <v>0.87</v>
      </c>
    </row>
    <row r="59" spans="2:25" x14ac:dyDescent="0.25">
      <c r="B59" s="22" t="s">
        <v>164</v>
      </c>
      <c r="C59" s="68">
        <v>0.21</v>
      </c>
      <c r="D59" s="68">
        <v>0.77</v>
      </c>
      <c r="E59" s="68">
        <v>3.22</v>
      </c>
      <c r="F59" s="68">
        <v>2.1</v>
      </c>
      <c r="G59" s="68">
        <v>1.54</v>
      </c>
      <c r="L59" s="22" t="s">
        <v>137</v>
      </c>
      <c r="M59" s="23">
        <v>0.87</v>
      </c>
      <c r="U59" s="22" t="s">
        <v>164</v>
      </c>
      <c r="V59" s="68">
        <v>14.22</v>
      </c>
      <c r="W59" s="68">
        <v>11.7</v>
      </c>
      <c r="X59" s="68">
        <v>0.77</v>
      </c>
      <c r="Y59" s="68">
        <v>0.82</v>
      </c>
    </row>
    <row r="60" spans="2:25" x14ac:dyDescent="0.25">
      <c r="B60" s="22" t="s">
        <v>289</v>
      </c>
      <c r="C60" s="68">
        <v>0.16</v>
      </c>
      <c r="D60" s="68">
        <v>1.35</v>
      </c>
      <c r="E60" s="68">
        <v>3.84</v>
      </c>
      <c r="F60" s="68">
        <v>2.75</v>
      </c>
      <c r="G60" s="68">
        <v>1.24</v>
      </c>
      <c r="L60" s="22" t="s">
        <v>155</v>
      </c>
      <c r="M60" s="23">
        <v>0.88</v>
      </c>
      <c r="U60" s="22" t="s">
        <v>289</v>
      </c>
      <c r="V60" s="68">
        <v>8.61</v>
      </c>
      <c r="W60" s="68">
        <v>7.1</v>
      </c>
      <c r="X60" s="68">
        <v>0.73</v>
      </c>
      <c r="Y60" s="68">
        <v>0.83</v>
      </c>
    </row>
    <row r="61" spans="2:25" x14ac:dyDescent="0.25">
      <c r="B61" s="22" t="s">
        <v>252</v>
      </c>
      <c r="C61" s="68">
        <v>0.19</v>
      </c>
      <c r="D61" s="68">
        <v>0.86</v>
      </c>
      <c r="E61" s="68">
        <v>4.5199999999999996</v>
      </c>
      <c r="F61" s="68">
        <v>1.1399999999999999</v>
      </c>
      <c r="G61" s="68">
        <v>1.05</v>
      </c>
      <c r="U61" s="22" t="s">
        <v>252</v>
      </c>
      <c r="V61" s="68">
        <v>7.94</v>
      </c>
      <c r="W61" s="68">
        <v>6.09</v>
      </c>
      <c r="X61" s="68">
        <v>0.38</v>
      </c>
      <c r="Y61" s="68">
        <v>0.77</v>
      </c>
    </row>
    <row r="62" spans="2:25" x14ac:dyDescent="0.25">
      <c r="B62" s="22" t="s">
        <v>237</v>
      </c>
      <c r="C62" s="68">
        <v>0.28000000000000003</v>
      </c>
      <c r="D62" s="68">
        <v>0.97</v>
      </c>
      <c r="E62" s="68">
        <v>3.02</v>
      </c>
      <c r="F62" s="68">
        <v>1.35</v>
      </c>
      <c r="G62" s="68">
        <v>1.25</v>
      </c>
      <c r="U62" s="22" t="s">
        <v>237</v>
      </c>
      <c r="V62" s="68">
        <v>8.49</v>
      </c>
      <c r="W62" s="68">
        <v>6.54</v>
      </c>
      <c r="X62" s="68">
        <v>0.79</v>
      </c>
      <c r="Y62" s="68">
        <v>0.77</v>
      </c>
    </row>
    <row r="63" spans="2:25" x14ac:dyDescent="0.25">
      <c r="B63" s="22" t="s">
        <v>245</v>
      </c>
      <c r="C63" s="68">
        <v>0.31</v>
      </c>
      <c r="D63" s="68">
        <v>0.98</v>
      </c>
      <c r="E63" s="68">
        <v>3.53</v>
      </c>
      <c r="F63" s="68">
        <v>1.77</v>
      </c>
      <c r="G63" s="68">
        <v>1.71</v>
      </c>
      <c r="U63" s="22" t="s">
        <v>245</v>
      </c>
      <c r="V63" s="68">
        <v>14.81</v>
      </c>
      <c r="W63" s="68">
        <v>12.28</v>
      </c>
      <c r="X63" s="68">
        <v>0.5</v>
      </c>
      <c r="Y63" s="68">
        <v>0.83</v>
      </c>
    </row>
    <row r="64" spans="2:25" x14ac:dyDescent="0.25">
      <c r="B64" s="22" t="s">
        <v>269</v>
      </c>
      <c r="C64" s="68">
        <v>0.12</v>
      </c>
      <c r="D64" s="68">
        <v>0.25</v>
      </c>
      <c r="E64" s="68">
        <v>4.5</v>
      </c>
      <c r="F64" s="68">
        <v>1.25</v>
      </c>
      <c r="G64" s="68">
        <v>1.38</v>
      </c>
      <c r="U64" s="22" t="s">
        <v>269</v>
      </c>
      <c r="V64" s="68">
        <v>16.75</v>
      </c>
      <c r="W64" s="68">
        <v>13.88</v>
      </c>
      <c r="X64" s="68">
        <v>0.12</v>
      </c>
      <c r="Y64" s="68">
        <v>0.83</v>
      </c>
    </row>
    <row r="65" spans="2:25" x14ac:dyDescent="0.25">
      <c r="B65" s="22" t="s">
        <v>210</v>
      </c>
      <c r="C65" s="68">
        <v>0.28999999999999998</v>
      </c>
      <c r="D65" s="68">
        <v>1.34</v>
      </c>
      <c r="E65" s="68">
        <v>2.44</v>
      </c>
      <c r="F65" s="68">
        <v>1.92</v>
      </c>
      <c r="G65" s="68">
        <v>1.05</v>
      </c>
      <c r="U65" s="22" t="s">
        <v>210</v>
      </c>
      <c r="V65" s="68">
        <v>8.65</v>
      </c>
      <c r="W65" s="68">
        <v>6.68</v>
      </c>
      <c r="X65" s="68">
        <v>0.81</v>
      </c>
      <c r="Y65" s="68">
        <v>0.77</v>
      </c>
    </row>
    <row r="66" spans="2:25" x14ac:dyDescent="0.25">
      <c r="B66" s="22" t="s">
        <v>116</v>
      </c>
      <c r="C66" s="68">
        <v>0.26</v>
      </c>
      <c r="D66" s="68">
        <v>1.05</v>
      </c>
      <c r="E66" s="68">
        <v>2.89</v>
      </c>
      <c r="F66" s="68">
        <v>1.93</v>
      </c>
      <c r="G66" s="68">
        <v>1.47</v>
      </c>
      <c r="U66" s="22" t="s">
        <v>116</v>
      </c>
      <c r="V66" s="68">
        <v>9.9499999999999993</v>
      </c>
      <c r="W66" s="68">
        <v>7.57</v>
      </c>
      <c r="X66" s="68">
        <v>0.62</v>
      </c>
      <c r="Y66" s="68">
        <v>0.76</v>
      </c>
    </row>
    <row r="71" spans="2:25" x14ac:dyDescent="0.25">
      <c r="D71" t="s">
        <v>321</v>
      </c>
      <c r="E71" t="s">
        <v>322</v>
      </c>
      <c r="K71" s="32"/>
      <c r="L71" t="s">
        <v>319</v>
      </c>
      <c r="M71" t="s">
        <v>320</v>
      </c>
      <c r="N71" t="s">
        <v>321</v>
      </c>
      <c r="O71" t="s">
        <v>322</v>
      </c>
      <c r="P71" t="s">
        <v>323</v>
      </c>
    </row>
    <row r="72" spans="2:25" x14ac:dyDescent="0.25">
      <c r="C72" t="s">
        <v>218</v>
      </c>
      <c r="D72">
        <v>4.1100000000000003</v>
      </c>
      <c r="E72">
        <v>2.23</v>
      </c>
      <c r="K72" t="s">
        <v>218</v>
      </c>
      <c r="L72">
        <v>0.3</v>
      </c>
      <c r="M72">
        <v>1.1599999999999999</v>
      </c>
      <c r="N72">
        <v>4.1100000000000003</v>
      </c>
      <c r="O72">
        <v>2.23</v>
      </c>
      <c r="P72">
        <v>1.1599999999999999</v>
      </c>
    </row>
    <row r="73" spans="2:25" x14ac:dyDescent="0.25">
      <c r="C73" t="s">
        <v>145</v>
      </c>
      <c r="D73">
        <v>2.84</v>
      </c>
      <c r="E73">
        <v>1.76</v>
      </c>
      <c r="K73" t="s">
        <v>145</v>
      </c>
      <c r="L73">
        <v>0.27</v>
      </c>
      <c r="M73">
        <v>1.18</v>
      </c>
      <c r="N73">
        <v>2.84</v>
      </c>
      <c r="O73">
        <v>1.76</v>
      </c>
      <c r="P73">
        <v>0.91</v>
      </c>
    </row>
    <row r="74" spans="2:25" x14ac:dyDescent="0.25">
      <c r="C74" t="s">
        <v>304</v>
      </c>
      <c r="D74">
        <v>1.71</v>
      </c>
      <c r="E74">
        <v>2.78</v>
      </c>
      <c r="K74" t="s">
        <v>304</v>
      </c>
      <c r="L74">
        <v>0</v>
      </c>
      <c r="M74">
        <v>1.35</v>
      </c>
      <c r="N74">
        <v>1.71</v>
      </c>
      <c r="O74">
        <v>2.78</v>
      </c>
      <c r="P74">
        <v>1.3</v>
      </c>
    </row>
    <row r="75" spans="2:25" x14ac:dyDescent="0.25">
      <c r="C75" t="s">
        <v>182</v>
      </c>
      <c r="D75">
        <v>3.75</v>
      </c>
      <c r="E75">
        <v>1.58</v>
      </c>
      <c r="K75" t="s">
        <v>182</v>
      </c>
      <c r="L75">
        <v>0.25</v>
      </c>
      <c r="M75">
        <v>0.86</v>
      </c>
      <c r="N75">
        <v>3.75</v>
      </c>
      <c r="O75">
        <v>1.58</v>
      </c>
      <c r="P75">
        <v>1.8</v>
      </c>
      <c r="U75" s="21" t="s">
        <v>312</v>
      </c>
      <c r="V75" t="s">
        <v>315</v>
      </c>
      <c r="W75" t="s">
        <v>317</v>
      </c>
    </row>
    <row r="76" spans="2:25" x14ac:dyDescent="0.25">
      <c r="C76" t="s">
        <v>297</v>
      </c>
      <c r="D76">
        <v>2.9</v>
      </c>
      <c r="E76">
        <v>1.76</v>
      </c>
      <c r="K76" t="s">
        <v>297</v>
      </c>
      <c r="L76">
        <v>0.38</v>
      </c>
      <c r="M76">
        <v>1.56</v>
      </c>
      <c r="N76">
        <v>2.9</v>
      </c>
      <c r="O76">
        <v>1.76</v>
      </c>
      <c r="P76">
        <v>1.26</v>
      </c>
      <c r="U76" s="22" t="s">
        <v>210</v>
      </c>
      <c r="V76" s="68">
        <v>8.65</v>
      </c>
      <c r="W76" s="68">
        <v>0.81</v>
      </c>
    </row>
    <row r="77" spans="2:25" x14ac:dyDescent="0.25">
      <c r="C77" t="s">
        <v>275</v>
      </c>
      <c r="D77">
        <v>3.99</v>
      </c>
      <c r="E77">
        <v>1.61</v>
      </c>
      <c r="K77" t="s">
        <v>275</v>
      </c>
      <c r="L77">
        <v>0.18</v>
      </c>
      <c r="M77">
        <v>1.01</v>
      </c>
      <c r="N77">
        <v>3.99</v>
      </c>
      <c r="O77">
        <v>1.61</v>
      </c>
      <c r="P77">
        <v>1.37</v>
      </c>
      <c r="U77" s="22" t="s">
        <v>145</v>
      </c>
      <c r="V77" s="68">
        <v>9.5</v>
      </c>
      <c r="W77" s="68">
        <v>0.56999999999999995</v>
      </c>
    </row>
    <row r="78" spans="2:25" ht="17.25" x14ac:dyDescent="0.3">
      <c r="C78" t="s">
        <v>260</v>
      </c>
      <c r="D78">
        <v>2.38</v>
      </c>
      <c r="E78">
        <v>1.67</v>
      </c>
      <c r="J78" s="31"/>
      <c r="K78" t="s">
        <v>260</v>
      </c>
      <c r="L78">
        <v>0.33</v>
      </c>
      <c r="M78">
        <v>1.38</v>
      </c>
      <c r="N78">
        <v>2.38</v>
      </c>
      <c r="O78">
        <v>1.67</v>
      </c>
      <c r="P78">
        <v>1.54</v>
      </c>
      <c r="U78" s="22" t="s">
        <v>218</v>
      </c>
      <c r="V78" s="68">
        <v>10.11</v>
      </c>
      <c r="W78" s="68">
        <v>0.56000000000000005</v>
      </c>
    </row>
    <row r="79" spans="2:25" x14ac:dyDescent="0.25">
      <c r="C79" t="s">
        <v>188</v>
      </c>
      <c r="D79">
        <v>3.91</v>
      </c>
      <c r="E79">
        <v>1.4</v>
      </c>
      <c r="K79" t="s">
        <v>188</v>
      </c>
      <c r="L79">
        <v>0.14000000000000001</v>
      </c>
      <c r="M79">
        <v>0.56000000000000005</v>
      </c>
      <c r="N79">
        <v>3.91</v>
      </c>
      <c r="O79">
        <v>1.4</v>
      </c>
      <c r="P79">
        <v>1.85</v>
      </c>
      <c r="U79" s="22" t="s">
        <v>304</v>
      </c>
      <c r="V79" s="68">
        <v>9.74</v>
      </c>
      <c r="W79" s="68">
        <v>0.4</v>
      </c>
    </row>
    <row r="80" spans="2:25" x14ac:dyDescent="0.25">
      <c r="C80" t="s">
        <v>283</v>
      </c>
      <c r="D80">
        <v>3.43</v>
      </c>
      <c r="E80">
        <v>1.52</v>
      </c>
      <c r="K80" t="s">
        <v>283</v>
      </c>
      <c r="L80">
        <v>0.13</v>
      </c>
      <c r="M80">
        <v>0.79</v>
      </c>
      <c r="N80">
        <v>3.43</v>
      </c>
      <c r="O80">
        <v>1.52</v>
      </c>
      <c r="P80">
        <v>1.85</v>
      </c>
      <c r="U80" s="22" t="s">
        <v>182</v>
      </c>
      <c r="V80" s="68">
        <v>11.3</v>
      </c>
      <c r="W80" s="68">
        <v>0.67</v>
      </c>
    </row>
    <row r="81" spans="3:23" x14ac:dyDescent="0.25">
      <c r="C81" t="s">
        <v>227</v>
      </c>
      <c r="D81">
        <v>4.2</v>
      </c>
      <c r="E81">
        <v>1.57</v>
      </c>
      <c r="K81" t="s">
        <v>227</v>
      </c>
      <c r="L81">
        <v>0.14000000000000001</v>
      </c>
      <c r="M81">
        <v>0.85</v>
      </c>
      <c r="N81">
        <v>4.2</v>
      </c>
      <c r="O81">
        <v>1.57</v>
      </c>
      <c r="P81">
        <v>1.99</v>
      </c>
      <c r="U81" s="22" t="s">
        <v>297</v>
      </c>
      <c r="V81" s="68">
        <v>9.24</v>
      </c>
      <c r="W81" s="68">
        <v>0.92</v>
      </c>
    </row>
    <row r="82" spans="3:23" x14ac:dyDescent="0.25">
      <c r="C82" t="s">
        <v>127</v>
      </c>
      <c r="D82">
        <v>3.26</v>
      </c>
      <c r="E82">
        <v>2.31</v>
      </c>
      <c r="K82" t="s">
        <v>127</v>
      </c>
      <c r="L82">
        <v>0.39</v>
      </c>
      <c r="M82">
        <v>1.39</v>
      </c>
      <c r="N82">
        <v>3.26</v>
      </c>
      <c r="O82">
        <v>2.31</v>
      </c>
      <c r="P82">
        <v>1.65</v>
      </c>
      <c r="U82" s="22" t="s">
        <v>275</v>
      </c>
      <c r="V82" s="68">
        <v>8.99</v>
      </c>
      <c r="W82" s="68">
        <v>0.66</v>
      </c>
    </row>
    <row r="83" spans="3:23" x14ac:dyDescent="0.25">
      <c r="C83" t="s">
        <v>173</v>
      </c>
      <c r="D83">
        <v>1.99</v>
      </c>
      <c r="E83">
        <v>2.4900000000000002</v>
      </c>
      <c r="K83" t="s">
        <v>173</v>
      </c>
      <c r="L83">
        <v>0</v>
      </c>
      <c r="M83">
        <v>1.49</v>
      </c>
      <c r="N83">
        <v>1.99</v>
      </c>
      <c r="O83">
        <v>2.4900000000000002</v>
      </c>
      <c r="P83">
        <v>0.99</v>
      </c>
      <c r="U83" s="22" t="s">
        <v>260</v>
      </c>
      <c r="V83" s="68">
        <v>8.58</v>
      </c>
      <c r="W83" s="68">
        <v>0.67</v>
      </c>
    </row>
    <row r="84" spans="3:23" x14ac:dyDescent="0.25">
      <c r="C84" t="s">
        <v>203</v>
      </c>
      <c r="D84">
        <v>3.52</v>
      </c>
      <c r="E84">
        <v>1.67</v>
      </c>
      <c r="K84" t="s">
        <v>203</v>
      </c>
      <c r="L84">
        <v>0.42</v>
      </c>
      <c r="M84">
        <v>1.1399999999999999</v>
      </c>
      <c r="N84">
        <v>3.52</v>
      </c>
      <c r="O84">
        <v>1.67</v>
      </c>
      <c r="P84">
        <v>0.87</v>
      </c>
      <c r="U84" s="22" t="s">
        <v>188</v>
      </c>
      <c r="V84" s="68">
        <v>14.9</v>
      </c>
      <c r="W84" s="68">
        <v>0.28000000000000003</v>
      </c>
    </row>
    <row r="85" spans="3:23" x14ac:dyDescent="0.25">
      <c r="C85" t="s">
        <v>155</v>
      </c>
      <c r="D85">
        <v>5.0599999999999996</v>
      </c>
      <c r="E85">
        <v>1.54</v>
      </c>
      <c r="K85" t="s">
        <v>155</v>
      </c>
      <c r="L85">
        <v>0</v>
      </c>
      <c r="M85">
        <v>0.44</v>
      </c>
      <c r="N85">
        <v>5.0599999999999996</v>
      </c>
      <c r="O85">
        <v>1.54</v>
      </c>
      <c r="P85">
        <v>1.54</v>
      </c>
      <c r="U85" s="22" t="s">
        <v>283</v>
      </c>
      <c r="V85" s="68">
        <v>14.06</v>
      </c>
      <c r="W85" s="68">
        <v>1.06</v>
      </c>
    </row>
    <row r="86" spans="3:23" x14ac:dyDescent="0.25">
      <c r="C86" t="s">
        <v>106</v>
      </c>
      <c r="D86">
        <v>5.0599999999999996</v>
      </c>
      <c r="E86">
        <v>2.25</v>
      </c>
      <c r="K86" t="s">
        <v>106</v>
      </c>
      <c r="L86">
        <v>0</v>
      </c>
      <c r="M86">
        <v>0.56000000000000005</v>
      </c>
      <c r="N86">
        <v>5.0599999999999996</v>
      </c>
      <c r="O86">
        <v>2.25</v>
      </c>
      <c r="P86">
        <v>1.69</v>
      </c>
      <c r="U86" s="22" t="s">
        <v>227</v>
      </c>
      <c r="V86" s="68">
        <v>14.88</v>
      </c>
      <c r="W86" s="68">
        <v>1.21</v>
      </c>
    </row>
    <row r="87" spans="3:23" x14ac:dyDescent="0.25">
      <c r="C87" t="s">
        <v>94</v>
      </c>
      <c r="D87">
        <v>2.95</v>
      </c>
      <c r="E87">
        <v>1.31</v>
      </c>
      <c r="K87" t="s">
        <v>94</v>
      </c>
      <c r="L87">
        <v>0.2</v>
      </c>
      <c r="M87">
        <v>0.92</v>
      </c>
      <c r="N87">
        <v>2.95</v>
      </c>
      <c r="O87">
        <v>1.31</v>
      </c>
      <c r="P87">
        <v>0.82</v>
      </c>
      <c r="U87" s="22" t="s">
        <v>127</v>
      </c>
      <c r="V87" s="68">
        <v>8.75</v>
      </c>
      <c r="W87" s="68">
        <v>0.91</v>
      </c>
    </row>
    <row r="88" spans="3:23" x14ac:dyDescent="0.25">
      <c r="C88" t="s">
        <v>195</v>
      </c>
      <c r="D88">
        <v>2.1</v>
      </c>
      <c r="E88">
        <v>1.49</v>
      </c>
      <c r="K88" t="s">
        <v>195</v>
      </c>
      <c r="L88">
        <v>0.1</v>
      </c>
      <c r="M88">
        <v>1.18</v>
      </c>
      <c r="N88">
        <v>2.1</v>
      </c>
      <c r="O88">
        <v>1.49</v>
      </c>
      <c r="P88">
        <v>1.08</v>
      </c>
      <c r="U88" s="22" t="s">
        <v>173</v>
      </c>
      <c r="V88" s="68">
        <v>10.44</v>
      </c>
      <c r="W88" s="68">
        <v>0.99</v>
      </c>
    </row>
    <row r="89" spans="3:23" x14ac:dyDescent="0.25">
      <c r="C89" t="s">
        <v>137</v>
      </c>
      <c r="D89">
        <v>3.53</v>
      </c>
      <c r="E89">
        <v>1.63</v>
      </c>
      <c r="K89" t="s">
        <v>137</v>
      </c>
      <c r="L89">
        <v>0.27</v>
      </c>
      <c r="M89">
        <v>1.0900000000000001</v>
      </c>
      <c r="N89">
        <v>3.53</v>
      </c>
      <c r="O89">
        <v>1.63</v>
      </c>
      <c r="P89">
        <v>1.36</v>
      </c>
      <c r="U89" s="22" t="s">
        <v>203</v>
      </c>
      <c r="V89" s="68">
        <v>11.17</v>
      </c>
      <c r="W89" s="68">
        <v>0.76</v>
      </c>
    </row>
    <row r="90" spans="3:23" x14ac:dyDescent="0.25">
      <c r="C90" t="s">
        <v>164</v>
      </c>
      <c r="D90">
        <v>3.22</v>
      </c>
      <c r="E90">
        <v>2.1</v>
      </c>
      <c r="K90" t="s">
        <v>164</v>
      </c>
      <c r="L90">
        <v>0.21</v>
      </c>
      <c r="M90">
        <v>0.77</v>
      </c>
      <c r="N90">
        <v>3.22</v>
      </c>
      <c r="O90">
        <v>2.1</v>
      </c>
      <c r="P90">
        <v>1.54</v>
      </c>
      <c r="U90" s="22" t="s">
        <v>155</v>
      </c>
      <c r="V90" s="68">
        <v>14.3</v>
      </c>
      <c r="W90" s="68">
        <v>0.22</v>
      </c>
    </row>
    <row r="91" spans="3:23" x14ac:dyDescent="0.25">
      <c r="C91" t="s">
        <v>289</v>
      </c>
      <c r="D91">
        <v>3.84</v>
      </c>
      <c r="E91">
        <v>2.75</v>
      </c>
      <c r="K91" t="s">
        <v>289</v>
      </c>
      <c r="L91">
        <v>0.16</v>
      </c>
      <c r="M91">
        <v>1.35</v>
      </c>
      <c r="N91">
        <v>3.84</v>
      </c>
      <c r="O91">
        <v>2.75</v>
      </c>
      <c r="P91">
        <v>1.24</v>
      </c>
      <c r="U91" s="22" t="s">
        <v>106</v>
      </c>
      <c r="V91" s="68">
        <v>9</v>
      </c>
      <c r="W91" s="68">
        <v>0</v>
      </c>
    </row>
    <row r="92" spans="3:23" x14ac:dyDescent="0.25">
      <c r="C92" t="s">
        <v>252</v>
      </c>
      <c r="D92">
        <v>4.5199999999999996</v>
      </c>
      <c r="E92">
        <v>1.1399999999999999</v>
      </c>
      <c r="K92" t="s">
        <v>252</v>
      </c>
      <c r="L92">
        <v>0.19</v>
      </c>
      <c r="M92">
        <v>0.86</v>
      </c>
      <c r="N92">
        <v>4.5199999999999996</v>
      </c>
      <c r="O92">
        <v>1.1399999999999999</v>
      </c>
      <c r="P92">
        <v>1.05</v>
      </c>
      <c r="U92" s="22" t="s">
        <v>94</v>
      </c>
      <c r="V92" s="68">
        <v>8.9</v>
      </c>
      <c r="W92" s="68">
        <v>0.82</v>
      </c>
    </row>
    <row r="93" spans="3:23" x14ac:dyDescent="0.25">
      <c r="C93" t="s">
        <v>237</v>
      </c>
      <c r="D93">
        <v>3.02</v>
      </c>
      <c r="E93">
        <v>1.35</v>
      </c>
      <c r="K93" t="s">
        <v>237</v>
      </c>
      <c r="L93">
        <v>0.28000000000000003</v>
      </c>
      <c r="M93">
        <v>0.97</v>
      </c>
      <c r="N93">
        <v>3.02</v>
      </c>
      <c r="O93">
        <v>1.35</v>
      </c>
      <c r="P93">
        <v>1.25</v>
      </c>
      <c r="U93" s="22" t="s">
        <v>195</v>
      </c>
      <c r="V93" s="68">
        <v>9.48</v>
      </c>
      <c r="W93" s="68">
        <v>0.92</v>
      </c>
    </row>
    <row r="94" spans="3:23" x14ac:dyDescent="0.25">
      <c r="C94" t="s">
        <v>245</v>
      </c>
      <c r="D94">
        <v>3.53</v>
      </c>
      <c r="E94">
        <v>1.77</v>
      </c>
      <c r="K94" t="s">
        <v>245</v>
      </c>
      <c r="L94">
        <v>0.31</v>
      </c>
      <c r="M94">
        <v>0.98</v>
      </c>
      <c r="N94">
        <v>3.53</v>
      </c>
      <c r="O94">
        <v>1.77</v>
      </c>
      <c r="P94">
        <v>1.71</v>
      </c>
      <c r="U94" s="22" t="s">
        <v>137</v>
      </c>
      <c r="V94" s="68">
        <v>10.33</v>
      </c>
      <c r="W94" s="68">
        <v>0.27</v>
      </c>
    </row>
    <row r="95" spans="3:23" x14ac:dyDescent="0.25">
      <c r="C95" t="s">
        <v>269</v>
      </c>
      <c r="D95">
        <v>4.5</v>
      </c>
      <c r="E95">
        <v>1.25</v>
      </c>
      <c r="K95" t="s">
        <v>269</v>
      </c>
      <c r="L95">
        <v>0.12</v>
      </c>
      <c r="M95">
        <v>0.25</v>
      </c>
      <c r="N95">
        <v>4.5</v>
      </c>
      <c r="O95">
        <v>1.25</v>
      </c>
      <c r="P95">
        <v>1.38</v>
      </c>
      <c r="U95" s="22" t="s">
        <v>164</v>
      </c>
      <c r="V95" s="68">
        <v>14.22</v>
      </c>
      <c r="W95" s="68">
        <v>0.77</v>
      </c>
    </row>
    <row r="96" spans="3:23" x14ac:dyDescent="0.25">
      <c r="C96" t="s">
        <v>210</v>
      </c>
      <c r="D96">
        <v>2.44</v>
      </c>
      <c r="E96">
        <v>1.92</v>
      </c>
      <c r="K96" t="s">
        <v>210</v>
      </c>
      <c r="L96">
        <v>0.28999999999999998</v>
      </c>
      <c r="M96">
        <v>1.34</v>
      </c>
      <c r="N96">
        <v>2.44</v>
      </c>
      <c r="O96">
        <v>1.92</v>
      </c>
      <c r="P96">
        <v>1.05</v>
      </c>
      <c r="U96" s="22" t="s">
        <v>289</v>
      </c>
      <c r="V96" s="68">
        <v>8.61</v>
      </c>
      <c r="W96" s="68">
        <v>0.73</v>
      </c>
    </row>
    <row r="97" spans="2:23" x14ac:dyDescent="0.25">
      <c r="C97" t="s">
        <v>116</v>
      </c>
      <c r="D97">
        <v>2.89</v>
      </c>
      <c r="E97">
        <v>1.93</v>
      </c>
      <c r="K97" t="s">
        <v>116</v>
      </c>
      <c r="L97">
        <v>0.26</v>
      </c>
      <c r="M97">
        <v>1.05</v>
      </c>
      <c r="N97">
        <v>2.89</v>
      </c>
      <c r="O97">
        <v>1.93</v>
      </c>
      <c r="P97">
        <v>1.47</v>
      </c>
      <c r="U97" s="22" t="s">
        <v>252</v>
      </c>
      <c r="V97" s="68">
        <v>7.94</v>
      </c>
      <c r="W97" s="68">
        <v>0.38</v>
      </c>
    </row>
    <row r="98" spans="2:23" x14ac:dyDescent="0.25">
      <c r="U98" s="22" t="s">
        <v>237</v>
      </c>
      <c r="V98" s="68">
        <v>8.49</v>
      </c>
      <c r="W98" s="68">
        <v>0.79</v>
      </c>
    </row>
    <row r="99" spans="2:23" x14ac:dyDescent="0.25">
      <c r="U99" s="22" t="s">
        <v>245</v>
      </c>
      <c r="V99" s="68">
        <v>14.81</v>
      </c>
      <c r="W99" s="68">
        <v>0.5</v>
      </c>
    </row>
    <row r="100" spans="2:23" x14ac:dyDescent="0.25">
      <c r="U100" s="22" t="s">
        <v>269</v>
      </c>
      <c r="V100" s="68">
        <v>16.75</v>
      </c>
      <c r="W100" s="68">
        <v>0.12</v>
      </c>
    </row>
    <row r="101" spans="2:23" x14ac:dyDescent="0.25">
      <c r="U101" s="22" t="s">
        <v>116</v>
      </c>
      <c r="V101" s="68">
        <v>9.9499999999999993</v>
      </c>
      <c r="W101" s="68">
        <v>0.62</v>
      </c>
    </row>
    <row r="103" spans="2:23" x14ac:dyDescent="0.25">
      <c r="G103" s="22" t="s">
        <v>106</v>
      </c>
      <c r="H103">
        <v>160</v>
      </c>
      <c r="I103">
        <v>4</v>
      </c>
      <c r="K103" s="22" t="s">
        <v>116</v>
      </c>
      <c r="L103">
        <v>37</v>
      </c>
      <c r="M103">
        <v>9</v>
      </c>
      <c r="N103">
        <f>M103/L103</f>
        <v>0.24324324324324326</v>
      </c>
    </row>
    <row r="104" spans="2:23" x14ac:dyDescent="0.25">
      <c r="B104" s="46" t="s">
        <v>297</v>
      </c>
      <c r="C104">
        <v>2</v>
      </c>
      <c r="G104" s="22" t="s">
        <v>173</v>
      </c>
      <c r="H104">
        <v>181</v>
      </c>
      <c r="I104">
        <v>2</v>
      </c>
      <c r="K104" s="22" t="s">
        <v>304</v>
      </c>
      <c r="L104">
        <v>36</v>
      </c>
      <c r="M104">
        <v>2</v>
      </c>
      <c r="N104">
        <f t="shared" ref="N104:N128" si="0">M104/L104</f>
        <v>5.5555555555555552E-2</v>
      </c>
      <c r="U104" s="21" t="s">
        <v>312</v>
      </c>
      <c r="V104" t="s">
        <v>329</v>
      </c>
    </row>
    <row r="105" spans="2:23" x14ac:dyDescent="0.25">
      <c r="B105" s="47" t="s">
        <v>188</v>
      </c>
      <c r="C105">
        <v>1</v>
      </c>
      <c r="G105" s="22" t="s">
        <v>137</v>
      </c>
      <c r="H105">
        <v>331</v>
      </c>
      <c r="I105">
        <v>1</v>
      </c>
      <c r="K105" s="22" t="s">
        <v>182</v>
      </c>
      <c r="L105">
        <v>32</v>
      </c>
      <c r="M105">
        <v>11</v>
      </c>
      <c r="N105">
        <f t="shared" si="0"/>
        <v>0.34375</v>
      </c>
      <c r="U105" s="22" t="s">
        <v>155</v>
      </c>
      <c r="V105" s="28">
        <v>1.500445632798574</v>
      </c>
    </row>
    <row r="106" spans="2:23" x14ac:dyDescent="0.25">
      <c r="B106" s="47" t="s">
        <v>227</v>
      </c>
      <c r="C106">
        <v>1</v>
      </c>
      <c r="G106" s="22" t="s">
        <v>155</v>
      </c>
      <c r="H106">
        <v>409</v>
      </c>
      <c r="I106">
        <v>6</v>
      </c>
      <c r="K106" s="22" t="s">
        <v>297</v>
      </c>
      <c r="L106">
        <v>31</v>
      </c>
      <c r="M106">
        <v>8</v>
      </c>
      <c r="N106">
        <f t="shared" si="0"/>
        <v>0.25806451612903225</v>
      </c>
      <c r="U106" s="22" t="s">
        <v>127</v>
      </c>
      <c r="V106" s="28">
        <v>1.9256120527306968</v>
      </c>
    </row>
    <row r="107" spans="2:23" x14ac:dyDescent="0.25">
      <c r="B107" s="47" t="s">
        <v>127</v>
      </c>
      <c r="C107">
        <v>1</v>
      </c>
      <c r="G107" s="22" t="s">
        <v>269</v>
      </c>
      <c r="H107">
        <v>720</v>
      </c>
      <c r="I107">
        <v>6</v>
      </c>
      <c r="K107" s="22" t="s">
        <v>245</v>
      </c>
      <c r="L107">
        <v>30</v>
      </c>
      <c r="M107">
        <v>3</v>
      </c>
      <c r="N107">
        <f t="shared" si="0"/>
        <v>0.1</v>
      </c>
      <c r="U107" s="22" t="s">
        <v>289</v>
      </c>
      <c r="V107" s="28">
        <v>1.9736040609137058</v>
      </c>
    </row>
    <row r="108" spans="2:23" x14ac:dyDescent="0.25">
      <c r="B108" s="47" t="s">
        <v>106</v>
      </c>
      <c r="C108">
        <v>1</v>
      </c>
      <c r="G108" s="22" t="s">
        <v>227</v>
      </c>
      <c r="H108">
        <v>1264</v>
      </c>
      <c r="I108">
        <v>13</v>
      </c>
      <c r="K108" s="22" t="s">
        <v>188</v>
      </c>
      <c r="L108">
        <v>26</v>
      </c>
      <c r="M108">
        <v>5</v>
      </c>
      <c r="N108">
        <f t="shared" si="0"/>
        <v>0.19230769230769232</v>
      </c>
      <c r="U108" s="22" t="s">
        <v>218</v>
      </c>
      <c r="V108" s="28">
        <v>2.233507853403141</v>
      </c>
    </row>
    <row r="109" spans="2:23" x14ac:dyDescent="0.25">
      <c r="B109" s="47" t="s">
        <v>116</v>
      </c>
      <c r="C109">
        <v>1</v>
      </c>
      <c r="G109" s="22" t="s">
        <v>164</v>
      </c>
      <c r="H109">
        <v>1285</v>
      </c>
      <c r="I109">
        <v>14</v>
      </c>
      <c r="K109" s="22" t="s">
        <v>145</v>
      </c>
      <c r="L109">
        <v>24</v>
      </c>
      <c r="M109">
        <v>6</v>
      </c>
      <c r="N109">
        <f t="shared" si="0"/>
        <v>0.25</v>
      </c>
      <c r="U109" s="22" t="s">
        <v>227</v>
      </c>
      <c r="V109" s="28">
        <v>2.8437047756874092</v>
      </c>
    </row>
    <row r="110" spans="2:23" x14ac:dyDescent="0.25">
      <c r="B110" s="47" t="s">
        <v>218</v>
      </c>
      <c r="C110">
        <v>0</v>
      </c>
      <c r="G110" s="22" t="s">
        <v>283</v>
      </c>
      <c r="H110">
        <v>1363</v>
      </c>
      <c r="I110">
        <v>14</v>
      </c>
      <c r="K110" s="22" t="s">
        <v>94</v>
      </c>
      <c r="L110">
        <v>22</v>
      </c>
      <c r="M110">
        <v>0</v>
      </c>
      <c r="N110">
        <f t="shared" si="0"/>
        <v>0</v>
      </c>
      <c r="U110" s="22" t="s">
        <v>203</v>
      </c>
      <c r="V110" s="28">
        <v>2.9898989898989901</v>
      </c>
    </row>
    <row r="111" spans="2:23" x14ac:dyDescent="0.25">
      <c r="B111" s="47" t="s">
        <v>145</v>
      </c>
      <c r="C111">
        <v>0</v>
      </c>
      <c r="G111" s="22" t="s">
        <v>275</v>
      </c>
      <c r="H111">
        <v>1511</v>
      </c>
      <c r="I111">
        <v>20</v>
      </c>
      <c r="K111" s="22" t="s">
        <v>275</v>
      </c>
      <c r="L111">
        <v>20</v>
      </c>
      <c r="M111">
        <v>2</v>
      </c>
      <c r="N111">
        <f t="shared" si="0"/>
        <v>0.1</v>
      </c>
      <c r="U111" s="22" t="s">
        <v>304</v>
      </c>
      <c r="V111" s="28">
        <v>3.7075664621676894</v>
      </c>
    </row>
    <row r="112" spans="2:23" x14ac:dyDescent="0.25">
      <c r="B112" s="47" t="s">
        <v>304</v>
      </c>
      <c r="C112">
        <v>0</v>
      </c>
      <c r="G112" s="22" t="s">
        <v>210</v>
      </c>
      <c r="H112">
        <v>1550</v>
      </c>
      <c r="I112">
        <v>17</v>
      </c>
      <c r="K112" s="22" t="s">
        <v>127</v>
      </c>
      <c r="L112">
        <v>20</v>
      </c>
      <c r="M112">
        <v>3</v>
      </c>
      <c r="N112">
        <f t="shared" si="0"/>
        <v>0.15</v>
      </c>
      <c r="U112" s="22" t="s">
        <v>252</v>
      </c>
      <c r="V112" s="28">
        <v>4.5570175438596499</v>
      </c>
    </row>
    <row r="113" spans="2:22" x14ac:dyDescent="0.25">
      <c r="B113" s="47" t="s">
        <v>182</v>
      </c>
      <c r="C113">
        <v>0</v>
      </c>
      <c r="G113" s="22" t="s">
        <v>289</v>
      </c>
      <c r="H113">
        <v>1736</v>
      </c>
      <c r="I113">
        <v>20</v>
      </c>
      <c r="K113" s="22" t="s">
        <v>289</v>
      </c>
      <c r="L113">
        <v>20</v>
      </c>
      <c r="M113">
        <v>5</v>
      </c>
      <c r="N113">
        <f t="shared" si="0"/>
        <v>0.25</v>
      </c>
      <c r="U113" s="22" t="s">
        <v>188</v>
      </c>
      <c r="V113" s="28">
        <v>5.106741573033708</v>
      </c>
    </row>
    <row r="114" spans="2:22" x14ac:dyDescent="0.25">
      <c r="B114" s="47" t="s">
        <v>275</v>
      </c>
      <c r="C114">
        <v>0</v>
      </c>
      <c r="G114" s="22" t="s">
        <v>195</v>
      </c>
      <c r="H114">
        <v>1756</v>
      </c>
      <c r="I114">
        <v>14</v>
      </c>
      <c r="K114" s="22" t="s">
        <v>237</v>
      </c>
      <c r="L114">
        <v>20</v>
      </c>
      <c r="M114">
        <v>5</v>
      </c>
      <c r="N114">
        <f t="shared" si="0"/>
        <v>0.25</v>
      </c>
      <c r="U114" s="22" t="s">
        <v>106</v>
      </c>
      <c r="V114" s="28">
        <v>5.3254437869822491</v>
      </c>
    </row>
    <row r="115" spans="2:22" x14ac:dyDescent="0.25">
      <c r="B115" s="47" t="s">
        <v>260</v>
      </c>
      <c r="C115">
        <v>0</v>
      </c>
      <c r="G115" s="22" t="s">
        <v>252</v>
      </c>
      <c r="H115">
        <v>1893</v>
      </c>
      <c r="I115">
        <v>14</v>
      </c>
      <c r="K115" s="22" t="s">
        <v>260</v>
      </c>
      <c r="L115">
        <v>19</v>
      </c>
      <c r="M115">
        <v>3</v>
      </c>
      <c r="N115">
        <f t="shared" si="0"/>
        <v>0.15789473684210525</v>
      </c>
      <c r="U115" s="22" t="s">
        <v>145</v>
      </c>
      <c r="V115" s="28">
        <v>5.5601173020527863</v>
      </c>
    </row>
    <row r="116" spans="2:22" x14ac:dyDescent="0.25">
      <c r="B116" s="47" t="s">
        <v>283</v>
      </c>
      <c r="C116">
        <v>0</v>
      </c>
      <c r="G116" s="22" t="s">
        <v>237</v>
      </c>
      <c r="H116">
        <v>1939</v>
      </c>
      <c r="I116">
        <v>20</v>
      </c>
      <c r="K116" s="22" t="s">
        <v>203</v>
      </c>
      <c r="L116">
        <v>17</v>
      </c>
      <c r="M116">
        <v>5</v>
      </c>
      <c r="N116">
        <f t="shared" si="0"/>
        <v>0.29411764705882354</v>
      </c>
      <c r="U116" s="22" t="s">
        <v>297</v>
      </c>
      <c r="V116" s="28">
        <v>5.6419753086419755</v>
      </c>
    </row>
    <row r="117" spans="2:22" x14ac:dyDescent="0.25">
      <c r="B117" s="47" t="s">
        <v>173</v>
      </c>
      <c r="C117">
        <v>0</v>
      </c>
      <c r="G117" s="22" t="s">
        <v>304</v>
      </c>
      <c r="H117">
        <v>2005</v>
      </c>
      <c r="I117">
        <v>36</v>
      </c>
      <c r="K117" s="22" t="s">
        <v>210</v>
      </c>
      <c r="L117">
        <v>17</v>
      </c>
      <c r="M117">
        <v>5</v>
      </c>
      <c r="N117">
        <f t="shared" si="0"/>
        <v>0.29411764705882354</v>
      </c>
      <c r="U117" s="22" t="s">
        <v>269</v>
      </c>
      <c r="V117" s="28">
        <v>5.7692307692307692</v>
      </c>
    </row>
    <row r="118" spans="2:22" x14ac:dyDescent="0.25">
      <c r="B118" s="47" t="s">
        <v>203</v>
      </c>
      <c r="C118">
        <v>0</v>
      </c>
      <c r="G118" s="22" t="s">
        <v>127</v>
      </c>
      <c r="H118">
        <v>2068</v>
      </c>
      <c r="I118">
        <v>20</v>
      </c>
      <c r="K118" s="22" t="s">
        <v>218</v>
      </c>
      <c r="L118">
        <v>16</v>
      </c>
      <c r="M118">
        <v>4</v>
      </c>
      <c r="N118">
        <f t="shared" si="0"/>
        <v>0.25</v>
      </c>
      <c r="U118" s="22" t="s">
        <v>210</v>
      </c>
      <c r="V118" s="28">
        <v>5.8432601880877746</v>
      </c>
    </row>
    <row r="119" spans="2:22" x14ac:dyDescent="0.25">
      <c r="B119" s="47" t="s">
        <v>155</v>
      </c>
      <c r="C119">
        <v>0</v>
      </c>
      <c r="G119" s="22" t="s">
        <v>218</v>
      </c>
      <c r="H119">
        <v>2101</v>
      </c>
      <c r="I119">
        <v>16</v>
      </c>
      <c r="K119" s="22" t="s">
        <v>283</v>
      </c>
      <c r="L119">
        <v>14</v>
      </c>
      <c r="M119">
        <v>2</v>
      </c>
      <c r="N119">
        <f t="shared" si="0"/>
        <v>0.14285714285714285</v>
      </c>
      <c r="U119" s="22" t="s">
        <v>195</v>
      </c>
      <c r="V119" s="28">
        <v>6.0309597523219818</v>
      </c>
    </row>
    <row r="120" spans="2:22" x14ac:dyDescent="0.25">
      <c r="B120" s="47" t="s">
        <v>94</v>
      </c>
      <c r="C120">
        <v>0</v>
      </c>
      <c r="G120" s="22" t="s">
        <v>260</v>
      </c>
      <c r="H120">
        <v>2160</v>
      </c>
      <c r="I120">
        <v>19</v>
      </c>
      <c r="K120" s="22" t="s">
        <v>195</v>
      </c>
      <c r="L120">
        <v>14</v>
      </c>
      <c r="M120">
        <v>3</v>
      </c>
      <c r="N120">
        <f t="shared" si="0"/>
        <v>0.21428571428571427</v>
      </c>
      <c r="U120" s="22" t="s">
        <v>94</v>
      </c>
      <c r="V120" s="28">
        <v>6.1592356687898082</v>
      </c>
    </row>
    <row r="121" spans="2:22" x14ac:dyDescent="0.25">
      <c r="B121" s="47" t="s">
        <v>195</v>
      </c>
      <c r="C121">
        <v>0</v>
      </c>
      <c r="G121" s="22" t="s">
        <v>297</v>
      </c>
      <c r="H121">
        <v>2358</v>
      </c>
      <c r="I121">
        <v>31</v>
      </c>
      <c r="K121" s="22" t="s">
        <v>164</v>
      </c>
      <c r="L121">
        <v>14</v>
      </c>
      <c r="M121">
        <v>3</v>
      </c>
      <c r="N121">
        <f t="shared" si="0"/>
        <v>0.21428571428571427</v>
      </c>
      <c r="U121" s="22" t="s">
        <v>173</v>
      </c>
      <c r="V121" s="28">
        <v>6.3422818791946307</v>
      </c>
    </row>
    <row r="122" spans="2:22" x14ac:dyDescent="0.25">
      <c r="B122" s="47" t="s">
        <v>137</v>
      </c>
      <c r="C122">
        <v>0</v>
      </c>
      <c r="G122" s="22" t="s">
        <v>203</v>
      </c>
      <c r="H122">
        <v>2376</v>
      </c>
      <c r="I122">
        <v>17</v>
      </c>
      <c r="K122" s="22" t="s">
        <v>252</v>
      </c>
      <c r="L122">
        <v>14</v>
      </c>
      <c r="M122">
        <v>1</v>
      </c>
      <c r="N122">
        <f t="shared" si="0"/>
        <v>7.1428571428571425E-2</v>
      </c>
      <c r="U122" s="22" t="s">
        <v>245</v>
      </c>
      <c r="V122" s="28">
        <v>6.608996539792388</v>
      </c>
    </row>
    <row r="123" spans="2:22" x14ac:dyDescent="0.25">
      <c r="B123" s="47" t="s">
        <v>164</v>
      </c>
      <c r="C123">
        <v>0</v>
      </c>
      <c r="G123" s="22" t="s">
        <v>188</v>
      </c>
      <c r="H123">
        <v>2579</v>
      </c>
      <c r="I123">
        <v>26</v>
      </c>
      <c r="K123" s="22" t="s">
        <v>227</v>
      </c>
      <c r="L123">
        <v>13</v>
      </c>
      <c r="M123">
        <v>3</v>
      </c>
      <c r="N123">
        <f t="shared" si="0"/>
        <v>0.23076923076923078</v>
      </c>
      <c r="U123" s="22" t="s">
        <v>237</v>
      </c>
      <c r="V123" s="28">
        <v>7.2868525896414349</v>
      </c>
    </row>
    <row r="124" spans="2:22" x14ac:dyDescent="0.25">
      <c r="B124" s="47" t="s">
        <v>289</v>
      </c>
      <c r="C124">
        <v>0</v>
      </c>
      <c r="G124" s="22" t="s">
        <v>145</v>
      </c>
      <c r="H124">
        <v>2663</v>
      </c>
      <c r="I124">
        <v>24</v>
      </c>
      <c r="K124" s="22" t="s">
        <v>155</v>
      </c>
      <c r="L124">
        <v>6</v>
      </c>
      <c r="M124">
        <v>1</v>
      </c>
      <c r="N124">
        <f t="shared" si="0"/>
        <v>0.16666666666666666</v>
      </c>
      <c r="U124" s="22" t="s">
        <v>137</v>
      </c>
      <c r="V124" s="28">
        <v>7.3404907975460123</v>
      </c>
    </row>
    <row r="125" spans="2:22" x14ac:dyDescent="0.25">
      <c r="B125" s="47" t="s">
        <v>252</v>
      </c>
      <c r="C125">
        <v>0</v>
      </c>
      <c r="G125" s="22" t="s">
        <v>94</v>
      </c>
      <c r="H125">
        <v>2750</v>
      </c>
      <c r="I125">
        <v>22</v>
      </c>
      <c r="K125" s="22" t="s">
        <v>269</v>
      </c>
      <c r="L125">
        <v>6</v>
      </c>
      <c r="M125">
        <v>1</v>
      </c>
      <c r="N125">
        <f t="shared" si="0"/>
        <v>0.16666666666666666</v>
      </c>
      <c r="U125" s="22" t="s">
        <v>260</v>
      </c>
      <c r="V125" s="28">
        <v>7.7731092436974789</v>
      </c>
    </row>
    <row r="126" spans="2:22" x14ac:dyDescent="0.25">
      <c r="B126" s="47" t="s">
        <v>237</v>
      </c>
      <c r="C126">
        <v>0</v>
      </c>
      <c r="G126" s="22" t="s">
        <v>116</v>
      </c>
      <c r="H126">
        <v>3176</v>
      </c>
      <c r="I126">
        <v>37</v>
      </c>
      <c r="K126" s="22" t="s">
        <v>106</v>
      </c>
      <c r="L126">
        <v>4</v>
      </c>
      <c r="M126">
        <v>0</v>
      </c>
      <c r="N126">
        <f t="shared" si="0"/>
        <v>0</v>
      </c>
      <c r="U126" s="22" t="s">
        <v>164</v>
      </c>
      <c r="V126" s="28">
        <v>8.0952380952380949</v>
      </c>
    </row>
    <row r="127" spans="2:22" x14ac:dyDescent="0.25">
      <c r="B127" s="47" t="s">
        <v>245</v>
      </c>
      <c r="C127">
        <v>0</v>
      </c>
      <c r="G127" s="22" t="s">
        <v>245</v>
      </c>
      <c r="H127">
        <v>3209</v>
      </c>
      <c r="I127">
        <v>30</v>
      </c>
      <c r="K127" s="22" t="s">
        <v>173</v>
      </c>
      <c r="L127">
        <v>2</v>
      </c>
      <c r="M127">
        <v>0</v>
      </c>
      <c r="N127">
        <f t="shared" si="0"/>
        <v>0</v>
      </c>
      <c r="U127" s="22" t="s">
        <v>283</v>
      </c>
      <c r="V127" s="28">
        <v>8.2941176470588225</v>
      </c>
    </row>
    <row r="128" spans="2:22" x14ac:dyDescent="0.25">
      <c r="B128" s="47" t="s">
        <v>269</v>
      </c>
      <c r="C128">
        <v>0</v>
      </c>
      <c r="G128" s="22" t="s">
        <v>182</v>
      </c>
      <c r="H128">
        <v>3243</v>
      </c>
      <c r="I128">
        <v>32</v>
      </c>
      <c r="K128" s="22" t="s">
        <v>137</v>
      </c>
      <c r="L128">
        <v>1</v>
      </c>
      <c r="M128">
        <v>1</v>
      </c>
      <c r="N128">
        <f t="shared" si="0"/>
        <v>1</v>
      </c>
      <c r="U128" s="22" t="s">
        <v>182</v>
      </c>
      <c r="V128" s="28">
        <v>8.552941176470588</v>
      </c>
    </row>
    <row r="129" spans="2:22" x14ac:dyDescent="0.25">
      <c r="B129" s="48" t="s">
        <v>210</v>
      </c>
      <c r="C129">
        <v>0</v>
      </c>
      <c r="U129" s="22" t="s">
        <v>116</v>
      </c>
      <c r="V129" s="28">
        <v>9.1674208144796392</v>
      </c>
    </row>
    <row r="130" spans="2:22" x14ac:dyDescent="0.25">
      <c r="U130" s="22" t="s">
        <v>275</v>
      </c>
      <c r="V130" s="28">
        <v>10.740384615384615</v>
      </c>
    </row>
  </sheetData>
  <sortState xmlns:xlrd2="http://schemas.microsoft.com/office/spreadsheetml/2017/richdata2" ref="B104:C129">
    <sortCondition descending="1" ref="C104:C129"/>
  </sortState>
  <conditionalFormatting pivot="1" sqref="V41:V66">
    <cfRule type="colorScale" priority="23">
      <colorScale>
        <cfvo type="min"/>
        <cfvo type="percentile" val="60"/>
        <cfvo type="max"/>
        <color rgb="FFF8696B"/>
        <color rgb="FFFCFCFF"/>
        <color rgb="FF5A8AC6"/>
      </colorScale>
    </cfRule>
  </conditionalFormatting>
  <conditionalFormatting pivot="1" sqref="W41:W66">
    <cfRule type="colorScale" priority="22">
      <colorScale>
        <cfvo type="min"/>
        <cfvo type="percentile" val="60"/>
        <cfvo type="max"/>
        <color rgb="FFF8696B"/>
        <color rgb="FFFCFCFF"/>
        <color rgb="FF5A8AC6"/>
      </colorScale>
    </cfRule>
  </conditionalFormatting>
  <conditionalFormatting pivot="1" sqref="Y41:Y66">
    <cfRule type="colorScale" priority="20">
      <colorScale>
        <cfvo type="min"/>
        <cfvo type="percentile" val="60"/>
        <cfvo type="max"/>
        <color rgb="FFF8696B"/>
        <color rgb="FFFCFCFF"/>
        <color rgb="FF5A8AC6"/>
      </colorScale>
    </cfRule>
  </conditionalFormatting>
  <conditionalFormatting pivot="1" sqref="X41:X66">
    <cfRule type="colorScale" priority="19">
      <colorScale>
        <cfvo type="min"/>
        <cfvo type="percentile" val="60"/>
        <cfvo type="max"/>
        <color rgb="FFF8696B"/>
        <color rgb="FFFCFCFF"/>
        <color rgb="FF5A8AC6"/>
      </colorScale>
    </cfRule>
  </conditionalFormatting>
  <conditionalFormatting pivot="1" sqref="C41:C66">
    <cfRule type="colorScale" priority="18">
      <colorScale>
        <cfvo type="min"/>
        <cfvo type="max"/>
        <color rgb="FFF8696B"/>
        <color rgb="FFFCFCFF"/>
      </colorScale>
    </cfRule>
  </conditionalFormatting>
  <conditionalFormatting pivot="1" sqref="D41:D66">
    <cfRule type="colorScale" priority="17">
      <colorScale>
        <cfvo type="min"/>
        <cfvo type="max"/>
        <color rgb="FFF8696B"/>
        <color rgb="FFFCFCFF"/>
      </colorScale>
    </cfRule>
  </conditionalFormatting>
  <conditionalFormatting pivot="1" sqref="E41:E66">
    <cfRule type="colorScale" priority="16">
      <colorScale>
        <cfvo type="min"/>
        <cfvo type="max"/>
        <color rgb="FFF8696B"/>
        <color rgb="FFFCFCFF"/>
      </colorScale>
    </cfRule>
  </conditionalFormatting>
  <conditionalFormatting pivot="1" sqref="F41:F66">
    <cfRule type="colorScale" priority="15">
      <colorScale>
        <cfvo type="min"/>
        <cfvo type="max"/>
        <color rgb="FFF8696B"/>
        <color rgb="FFFCFCFF"/>
      </colorScale>
    </cfRule>
  </conditionalFormatting>
  <conditionalFormatting pivot="1" sqref="G41:G66">
    <cfRule type="colorScale" priority="14">
      <colorScale>
        <cfvo type="min"/>
        <cfvo type="max"/>
        <color rgb="FFF8696B"/>
        <color rgb="FFFCFCFF"/>
      </colorScale>
    </cfRule>
  </conditionalFormatting>
  <conditionalFormatting pivot="1" sqref="X5:X30">
    <cfRule type="colorScale" priority="13">
      <colorScale>
        <cfvo type="min"/>
        <cfvo type="max"/>
        <color rgb="FFFFEF9C"/>
        <color rgb="FF63BE7B"/>
      </colorScale>
    </cfRule>
  </conditionalFormatting>
  <conditionalFormatting pivot="1" sqref="V5:V30">
    <cfRule type="colorScale" priority="10">
      <colorScale>
        <cfvo type="min"/>
        <cfvo type="max"/>
        <color rgb="FFFFEF9C"/>
        <color rgb="FF63BE7B"/>
      </colorScale>
    </cfRule>
  </conditionalFormatting>
  <conditionalFormatting pivot="1" sqref="W5:W30">
    <cfRule type="colorScale" priority="9">
      <colorScale>
        <cfvo type="min"/>
        <cfvo type="max"/>
        <color rgb="FFFCFCFF"/>
        <color rgb="FFF8696B"/>
      </colorScale>
    </cfRule>
  </conditionalFormatting>
  <conditionalFormatting pivot="1" sqref="M35:M60">
    <cfRule type="colorScale" priority="6">
      <colorScale>
        <cfvo type="min"/>
        <cfvo type="percentile" val="60"/>
        <cfvo type="max"/>
        <color rgb="FFF8696B"/>
        <color rgb="FFFCFCFF"/>
        <color rgb="FF5A8AC6"/>
      </colorScale>
    </cfRule>
  </conditionalFormatting>
  <conditionalFormatting pivot="1" sqref="V76:V101">
    <cfRule type="colorScale" priority="4">
      <colorScale>
        <cfvo type="min"/>
        <cfvo type="percentile" val="60"/>
        <cfvo type="max"/>
        <color rgb="FFF8696B"/>
        <color rgb="FFFCFCFF"/>
        <color rgb="FF5A8AC6"/>
      </colorScale>
    </cfRule>
  </conditionalFormatting>
  <conditionalFormatting pivot="1" sqref="W76:W101">
    <cfRule type="colorScale" priority="1">
      <colorScale>
        <cfvo type="min"/>
        <cfvo type="percentile" val="6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horizontalDpi="300" verticalDpi="300" r:id="rId9"/>
  <drawing r:id="rId1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ZGZ_DFC_IZQ_23_24</vt:lpstr>
      <vt:lpstr>Extracted Data</vt:lpstr>
      <vt:lpstr>Dashboard</vt:lpstr>
      <vt:lpstr>ScatterPlot</vt:lpstr>
      <vt:lpstr>Minutos y sanciones</vt:lpstr>
      <vt:lpstr>Pivot 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PC</dc:creator>
  <cp:lastModifiedBy>Usuario</cp:lastModifiedBy>
  <dcterms:created xsi:type="dcterms:W3CDTF">2023-06-18T22:12:18Z</dcterms:created>
  <dcterms:modified xsi:type="dcterms:W3CDTF">2023-07-09T16:00:24Z</dcterms:modified>
</cp:coreProperties>
</file>